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lFan\Excel Course\2023\JAN-FEB 2023\BATCH-B\Module-17\"/>
    </mc:Choice>
  </mc:AlternateContent>
  <xr:revisionPtr revIDLastSave="0" documentId="13_ncr:1_{A662D5D4-1FB9-486F-AB7F-972A05C73531}" xr6:coauthVersionLast="47" xr6:coauthVersionMax="47" xr10:uidLastSave="{00000000-0000-0000-0000-000000000000}"/>
  <bookViews>
    <workbookView xWindow="-108" yWindow="-108" windowWidth="23256" windowHeight="12456" tabRatio="841" xr2:uid="{8FC58788-5000-48BB-8B43-A416327D323A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  <sheet name="Question 9" sheetId="9" r:id="rId9"/>
    <sheet name="Question 10" sheetId="10" r:id="rId10"/>
    <sheet name="Question 11" sheetId="11" r:id="rId11"/>
    <sheet name="Question 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1" l="1"/>
  <c r="B17" i="11"/>
  <c r="B16" i="11"/>
  <c r="B15" i="11"/>
  <c r="B14" i="11"/>
  <c r="I13" i="8"/>
  <c r="I12" i="8"/>
  <c r="I11" i="8"/>
  <c r="I10" i="8"/>
  <c r="I9" i="8"/>
  <c r="I8" i="8"/>
  <c r="I7" i="8"/>
  <c r="I6" i="8"/>
  <c r="I5" i="8"/>
  <c r="I4" i="8"/>
  <c r="I3" i="8"/>
  <c r="I2" i="8"/>
  <c r="F32" i="4"/>
  <c r="E32" i="4"/>
  <c r="G30" i="4"/>
  <c r="H30" i="4" s="1"/>
  <c r="I30" i="4" s="1"/>
  <c r="C30" i="4"/>
  <c r="G29" i="4"/>
  <c r="H29" i="4" s="1"/>
  <c r="I29" i="4" s="1"/>
  <c r="C29" i="4"/>
  <c r="G28" i="4"/>
  <c r="H28" i="4" s="1"/>
  <c r="I28" i="4" s="1"/>
  <c r="C28" i="4"/>
  <c r="G27" i="4"/>
  <c r="H27" i="4" s="1"/>
  <c r="I27" i="4" s="1"/>
  <c r="C27" i="4"/>
  <c r="G26" i="4"/>
  <c r="H26" i="4" s="1"/>
  <c r="I26" i="4" s="1"/>
  <c r="C26" i="4"/>
  <c r="G25" i="4"/>
  <c r="H25" i="4" s="1"/>
  <c r="I25" i="4" s="1"/>
  <c r="C25" i="4"/>
  <c r="G24" i="4"/>
  <c r="H24" i="4" s="1"/>
  <c r="I24" i="4" s="1"/>
  <c r="C24" i="4"/>
  <c r="G23" i="4"/>
  <c r="H23" i="4" s="1"/>
  <c r="I23" i="4" s="1"/>
  <c r="C23" i="4"/>
  <c r="G22" i="4"/>
  <c r="H22" i="4" s="1"/>
  <c r="I22" i="4" s="1"/>
  <c r="C22" i="4"/>
  <c r="G21" i="4"/>
  <c r="H21" i="4" s="1"/>
  <c r="I21" i="4" s="1"/>
  <c r="C21" i="4"/>
  <c r="G20" i="4"/>
  <c r="H20" i="4" s="1"/>
  <c r="I20" i="4" s="1"/>
  <c r="C20" i="4"/>
  <c r="G19" i="4"/>
  <c r="H19" i="4" s="1"/>
  <c r="I19" i="4" s="1"/>
  <c r="C19" i="4"/>
  <c r="G18" i="4"/>
  <c r="H18" i="4" s="1"/>
  <c r="I18" i="4" s="1"/>
  <c r="C18" i="4"/>
  <c r="G17" i="4"/>
  <c r="H17" i="4" s="1"/>
  <c r="I17" i="4" s="1"/>
  <c r="C17" i="4"/>
  <c r="G16" i="4"/>
  <c r="H16" i="4" s="1"/>
  <c r="I16" i="4" s="1"/>
  <c r="C16" i="4"/>
  <c r="G15" i="4"/>
  <c r="H15" i="4" s="1"/>
  <c r="I15" i="4" s="1"/>
  <c r="C15" i="4"/>
  <c r="G14" i="4"/>
  <c r="H14" i="4" s="1"/>
  <c r="I14" i="4" s="1"/>
  <c r="C14" i="4"/>
  <c r="G13" i="4"/>
  <c r="H13" i="4" s="1"/>
  <c r="I13" i="4" s="1"/>
  <c r="C13" i="4"/>
  <c r="G12" i="4"/>
  <c r="H12" i="4" s="1"/>
  <c r="I12" i="4" s="1"/>
  <c r="C12" i="4"/>
  <c r="G11" i="4"/>
  <c r="H11" i="4" s="1"/>
  <c r="I11" i="4" s="1"/>
  <c r="C11" i="4"/>
  <c r="G10" i="4"/>
  <c r="H10" i="4" s="1"/>
  <c r="I10" i="4" s="1"/>
  <c r="C10" i="4"/>
  <c r="G9" i="4"/>
  <c r="H9" i="4" s="1"/>
  <c r="I9" i="4" s="1"/>
  <c r="C9" i="4"/>
  <c r="G8" i="4"/>
  <c r="H8" i="4" s="1"/>
  <c r="I8" i="4" s="1"/>
  <c r="C8" i="4"/>
  <c r="G7" i="4"/>
  <c r="H7" i="4" s="1"/>
  <c r="I7" i="4" s="1"/>
  <c r="C7" i="4"/>
  <c r="G6" i="4"/>
  <c r="H6" i="4" s="1"/>
  <c r="I6" i="4" s="1"/>
  <c r="C6" i="4"/>
  <c r="G5" i="4"/>
  <c r="H5" i="4" s="1"/>
  <c r="I5" i="4" s="1"/>
  <c r="C5" i="4"/>
  <c r="G4" i="4"/>
  <c r="C4" i="4"/>
  <c r="F32" i="2"/>
  <c r="E32" i="2"/>
  <c r="G30" i="2"/>
  <c r="H30" i="2" s="1"/>
  <c r="I30" i="2" s="1"/>
  <c r="C30" i="2"/>
  <c r="G29" i="2"/>
  <c r="H29" i="2" s="1"/>
  <c r="I29" i="2" s="1"/>
  <c r="C29" i="2"/>
  <c r="G28" i="2"/>
  <c r="H28" i="2" s="1"/>
  <c r="I28" i="2" s="1"/>
  <c r="C28" i="2"/>
  <c r="G27" i="2"/>
  <c r="H27" i="2" s="1"/>
  <c r="I27" i="2" s="1"/>
  <c r="C27" i="2"/>
  <c r="G26" i="2"/>
  <c r="H26" i="2" s="1"/>
  <c r="I26" i="2" s="1"/>
  <c r="C26" i="2"/>
  <c r="G25" i="2"/>
  <c r="H25" i="2" s="1"/>
  <c r="I25" i="2" s="1"/>
  <c r="C25" i="2"/>
  <c r="G24" i="2"/>
  <c r="H24" i="2" s="1"/>
  <c r="I24" i="2" s="1"/>
  <c r="C24" i="2"/>
  <c r="G23" i="2"/>
  <c r="H23" i="2" s="1"/>
  <c r="I23" i="2" s="1"/>
  <c r="C23" i="2"/>
  <c r="G22" i="2"/>
  <c r="H22" i="2" s="1"/>
  <c r="I22" i="2" s="1"/>
  <c r="C22" i="2"/>
  <c r="G21" i="2"/>
  <c r="H21" i="2" s="1"/>
  <c r="I21" i="2" s="1"/>
  <c r="C21" i="2"/>
  <c r="G20" i="2"/>
  <c r="H20" i="2" s="1"/>
  <c r="I20" i="2" s="1"/>
  <c r="C20" i="2"/>
  <c r="G19" i="2"/>
  <c r="H19" i="2" s="1"/>
  <c r="I19" i="2" s="1"/>
  <c r="C19" i="2"/>
  <c r="G18" i="2"/>
  <c r="H18" i="2" s="1"/>
  <c r="I18" i="2" s="1"/>
  <c r="C18" i="2"/>
  <c r="G17" i="2"/>
  <c r="H17" i="2" s="1"/>
  <c r="I17" i="2" s="1"/>
  <c r="C17" i="2"/>
  <c r="G16" i="2"/>
  <c r="H16" i="2" s="1"/>
  <c r="I16" i="2" s="1"/>
  <c r="C16" i="2"/>
  <c r="H15" i="2"/>
  <c r="I15" i="2" s="1"/>
  <c r="G15" i="2"/>
  <c r="C15" i="2"/>
  <c r="G14" i="2"/>
  <c r="H14" i="2" s="1"/>
  <c r="I14" i="2" s="1"/>
  <c r="C14" i="2"/>
  <c r="G13" i="2"/>
  <c r="H13" i="2" s="1"/>
  <c r="I13" i="2" s="1"/>
  <c r="C13" i="2"/>
  <c r="G12" i="2"/>
  <c r="H12" i="2" s="1"/>
  <c r="I12" i="2" s="1"/>
  <c r="C12" i="2"/>
  <c r="G11" i="2"/>
  <c r="H11" i="2" s="1"/>
  <c r="I11" i="2" s="1"/>
  <c r="C11" i="2"/>
  <c r="G10" i="2"/>
  <c r="H10" i="2" s="1"/>
  <c r="I10" i="2" s="1"/>
  <c r="C10" i="2"/>
  <c r="G9" i="2"/>
  <c r="H9" i="2" s="1"/>
  <c r="I9" i="2" s="1"/>
  <c r="C9" i="2"/>
  <c r="G8" i="2"/>
  <c r="H8" i="2" s="1"/>
  <c r="I8" i="2" s="1"/>
  <c r="C8" i="2"/>
  <c r="H7" i="2"/>
  <c r="I7" i="2" s="1"/>
  <c r="G7" i="2"/>
  <c r="C7" i="2"/>
  <c r="G6" i="2"/>
  <c r="H6" i="2" s="1"/>
  <c r="I6" i="2" s="1"/>
  <c r="C6" i="2"/>
  <c r="G5" i="2"/>
  <c r="H5" i="2" s="1"/>
  <c r="I5" i="2" s="1"/>
  <c r="C5" i="2"/>
  <c r="G4" i="2"/>
  <c r="C4" i="2"/>
  <c r="C14" i="1"/>
  <c r="B14" i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G32" i="4" l="1"/>
  <c r="H4" i="4"/>
  <c r="G32" i="2"/>
  <c r="H4" i="2"/>
  <c r="H32" i="2" s="1"/>
  <c r="D14" i="1"/>
  <c r="E2" i="1"/>
  <c r="H32" i="4" l="1"/>
  <c r="I4" i="4"/>
  <c r="I32" i="4" s="1"/>
  <c r="I4" i="2"/>
  <c r="I32" i="2" s="1"/>
</calcChain>
</file>

<file path=xl/sharedStrings.xml><?xml version="1.0" encoding="utf-8"?>
<sst xmlns="http://schemas.openxmlformats.org/spreadsheetml/2006/main" count="7488" uniqueCount="1763">
  <si>
    <t>Agent</t>
  </si>
  <si>
    <t>List Price</t>
  </si>
  <si>
    <t>Sale Price</t>
  </si>
  <si>
    <t>Difference</t>
  </si>
  <si>
    <t>Percentage Difference</t>
  </si>
  <si>
    <t>Days on Market</t>
  </si>
  <si>
    <t>Abraham Bannon</t>
  </si>
  <si>
    <t>Robin Bullock</t>
  </si>
  <si>
    <t>Sidney Powell</t>
  </si>
  <si>
    <t>Mike Lindell</t>
  </si>
  <si>
    <t>Margorie taylor Green</t>
  </si>
  <si>
    <t>Tucker Carlson</t>
  </si>
  <si>
    <t>Sean Hannity</t>
  </si>
  <si>
    <t>Jim Caviezel</t>
  </si>
  <si>
    <t>Mel Gibson</t>
  </si>
  <si>
    <t>Alex Jones</t>
  </si>
  <si>
    <t>Kat Kerr</t>
  </si>
  <si>
    <t>Denzel Washington</t>
  </si>
  <si>
    <t>Total Sales</t>
  </si>
  <si>
    <t>Sum of sales over $650,000</t>
  </si>
  <si>
    <t>Number of policies listed for $770,000 or more</t>
  </si>
  <si>
    <t>Number of policies sold for $650,000 or more</t>
  </si>
  <si>
    <t>Sum of policies that sold for a percentage difference of less than 0.5%</t>
  </si>
  <si>
    <t>Inv. Due</t>
  </si>
  <si>
    <t>Placed with</t>
  </si>
  <si>
    <t>Item Cost</t>
  </si>
  <si>
    <t>Quantity</t>
  </si>
  <si>
    <t>Total Cost</t>
  </si>
  <si>
    <t>Sales Tax</t>
  </si>
  <si>
    <t>Grand Total</t>
  </si>
  <si>
    <t>Discovery Channel</t>
  </si>
  <si>
    <t>University Voice</t>
  </si>
  <si>
    <t>Food Network</t>
  </si>
  <si>
    <t>Mass Appeal, Inc.</t>
  </si>
  <si>
    <t>Advertising Concepts</t>
  </si>
  <si>
    <t>Gourmet</t>
  </si>
  <si>
    <t>Village Reader</t>
  </si>
  <si>
    <t>iPodAds</t>
  </si>
  <si>
    <t>Advertising Expenses</t>
  </si>
  <si>
    <t>Type</t>
  </si>
  <si>
    <t>Inv. Date</t>
  </si>
  <si>
    <t>TV Sponsor</t>
  </si>
  <si>
    <t>Task</t>
  </si>
  <si>
    <t>Podcasts</t>
  </si>
  <si>
    <t>Apply conditional formatting as following:</t>
  </si>
  <si>
    <t>Social media</t>
  </si>
  <si>
    <t>col. E =&gt;</t>
  </si>
  <si>
    <t xml:space="preserve">Values between 75 - 250 in red text </t>
  </si>
  <si>
    <t>TV commercials</t>
  </si>
  <si>
    <t>col. G =&gt;</t>
  </si>
  <si>
    <t>Top 10 Light Red Fill</t>
  </si>
  <si>
    <t>Web page ads</t>
  </si>
  <si>
    <t xml:space="preserve">col. H =&gt; </t>
  </si>
  <si>
    <t>Magazine</t>
  </si>
  <si>
    <t>col. I =&gt;</t>
  </si>
  <si>
    <t>Icon set: choose suitable option</t>
  </si>
  <si>
    <t>Pens</t>
  </si>
  <si>
    <t>Sign</t>
  </si>
  <si>
    <t>Newspaper</t>
  </si>
  <si>
    <t>T-Shirts</t>
  </si>
  <si>
    <r>
      <rPr>
        <sz val="11"/>
        <color theme="7" tint="0.39997558519241921"/>
        <rFont val="Calibri"/>
        <family val="2"/>
        <scheme val="minor"/>
      </rPr>
      <t>.</t>
    </r>
    <r>
      <rPr>
        <sz val="11"/>
        <color rgb="FF9C6500"/>
        <rFont val="Calibri"/>
        <family val="2"/>
        <scheme val="minor"/>
      </rPr>
      <t>3.41%</t>
    </r>
  </si>
  <si>
    <t>&lt; Fix Those Errors</t>
  </si>
  <si>
    <t>Products</t>
  </si>
  <si>
    <t>Bottom 40 % in font colour blue</t>
  </si>
  <si>
    <t>Salary Increase</t>
  </si>
  <si>
    <t>Quota</t>
  </si>
  <si>
    <t>Sales</t>
  </si>
  <si>
    <t>Performance Rating</t>
  </si>
  <si>
    <t>Michael</t>
  </si>
  <si>
    <t>Vandross</t>
  </si>
  <si>
    <t>Luther</t>
  </si>
  <si>
    <t>Jackson</t>
  </si>
  <si>
    <t>Diana</t>
  </si>
  <si>
    <t>White</t>
  </si>
  <si>
    <t>Barry</t>
  </si>
  <si>
    <t>Ross</t>
  </si>
  <si>
    <t>Roachford</t>
  </si>
  <si>
    <t>An employee with a performance rating of 5 or higher and whose sales are greater/equal to their quota receives a bonus of his/her sales.</t>
  </si>
  <si>
    <t>Eligible (YES/NO)</t>
  </si>
  <si>
    <t>Name</t>
  </si>
  <si>
    <t>Rank</t>
  </si>
  <si>
    <t>School</t>
  </si>
  <si>
    <t>Marks</t>
  </si>
  <si>
    <t>Age</t>
  </si>
  <si>
    <t xml:space="preserve"> Dallas George</t>
  </si>
  <si>
    <t>School 1</t>
  </si>
  <si>
    <t xml:space="preserve"> Flora Clayton</t>
  </si>
  <si>
    <t>School 3</t>
  </si>
  <si>
    <t xml:space="preserve"> Susie Willis</t>
  </si>
  <si>
    <t>School 4</t>
  </si>
  <si>
    <t xml:space="preserve"> Bessie Carter</t>
  </si>
  <si>
    <t xml:space="preserve"> Leonard Ramsey</t>
  </si>
  <si>
    <t>School 2</t>
  </si>
  <si>
    <t xml:space="preserve"> Muriel Carson</t>
  </si>
  <si>
    <t xml:space="preserve"> Lana Wilkins</t>
  </si>
  <si>
    <t xml:space="preserve"> Dustin Moody</t>
  </si>
  <si>
    <t xml:space="preserve"> Meredith Webb</t>
  </si>
  <si>
    <t xml:space="preserve"> Diane Mendez</t>
  </si>
  <si>
    <t xml:space="preserve"> Kenneth Parker</t>
  </si>
  <si>
    <t xml:space="preserve"> Alex Summers</t>
  </si>
  <si>
    <t xml:space="preserve"> Caroline Mckenzie</t>
  </si>
  <si>
    <t xml:space="preserve"> Rachel Watts</t>
  </si>
  <si>
    <t xml:space="preserve"> Jordan Lewis</t>
  </si>
  <si>
    <t xml:space="preserve"> Hilda Garcia</t>
  </si>
  <si>
    <t xml:space="preserve"> Valerie Guerrero</t>
  </si>
  <si>
    <t xml:space="preserve"> Geraldine Thomas</t>
  </si>
  <si>
    <t xml:space="preserve"> Jeffery Gray</t>
  </si>
  <si>
    <t xml:space="preserve"> Carrie Henderson</t>
  </si>
  <si>
    <t xml:space="preserve"> Harry Harrington</t>
  </si>
  <si>
    <t xml:space="preserve"> Kristy Morrison</t>
  </si>
  <si>
    <t xml:space="preserve"> Opal Lucas</t>
  </si>
  <si>
    <t xml:space="preserve"> David Young</t>
  </si>
  <si>
    <t xml:space="preserve"> Lindsey Roy</t>
  </si>
  <si>
    <t xml:space="preserve"> Lorenzo Hall</t>
  </si>
  <si>
    <t xml:space="preserve"> Ivan Bridges</t>
  </si>
  <si>
    <t xml:space="preserve"> Denise Terry</t>
  </si>
  <si>
    <t xml:space="preserve"> Amelia Sims</t>
  </si>
  <si>
    <t xml:space="preserve"> Neil Leonard</t>
  </si>
  <si>
    <t xml:space="preserve"> Winifred Griffin</t>
  </si>
  <si>
    <t xml:space="preserve"> Holly Ferguson</t>
  </si>
  <si>
    <t xml:space="preserve"> Lora Wong</t>
  </si>
  <si>
    <t xml:space="preserve"> Diana Cobb</t>
  </si>
  <si>
    <t xml:space="preserve"> Estelle Frazier</t>
  </si>
  <si>
    <t xml:space="preserve"> Max Padilla</t>
  </si>
  <si>
    <t xml:space="preserve"> Daisy Moss</t>
  </si>
  <si>
    <t xml:space="preserve"> Lorena Gregory</t>
  </si>
  <si>
    <t xml:space="preserve"> Debra Lawson</t>
  </si>
  <si>
    <t xml:space="preserve"> Terrell Wilson</t>
  </si>
  <si>
    <t xml:space="preserve"> Suzanne Wagner</t>
  </si>
  <si>
    <t xml:space="preserve"> Melba Hawkins</t>
  </si>
  <si>
    <t xml:space="preserve"> Lester Reynolds</t>
  </si>
  <si>
    <t xml:space="preserve"> Tim Vaughn</t>
  </si>
  <si>
    <t xml:space="preserve"> Cecil Myers</t>
  </si>
  <si>
    <t xml:space="preserve"> Sophie Yates</t>
  </si>
  <si>
    <t xml:space="preserve"> Deborah Munoz</t>
  </si>
  <si>
    <t xml:space="preserve"> Luis Vargas</t>
  </si>
  <si>
    <t xml:space="preserve"> Ismael Strickland</t>
  </si>
  <si>
    <t xml:space="preserve"> Nathan Dunn</t>
  </si>
  <si>
    <t xml:space="preserve"> Brooke Jefferson</t>
  </si>
  <si>
    <t xml:space="preserve"> Kelly Wallace</t>
  </si>
  <si>
    <t xml:space="preserve"> Duane Riley</t>
  </si>
  <si>
    <t xml:space="preserve"> Harriet Kennedy</t>
  </si>
  <si>
    <t xml:space="preserve"> Vicki Francis</t>
  </si>
  <si>
    <t xml:space="preserve"> Matt Mann</t>
  </si>
  <si>
    <t xml:space="preserve"> Vicky Green</t>
  </si>
  <si>
    <t xml:space="preserve"> Patsy Elliott</t>
  </si>
  <si>
    <t xml:space="preserve"> Preston Lee</t>
  </si>
  <si>
    <t xml:space="preserve"> Ervin Oliver</t>
  </si>
  <si>
    <t xml:space="preserve"> Lewis Mitchell</t>
  </si>
  <si>
    <t xml:space="preserve"> Samantha Nichols</t>
  </si>
  <si>
    <t xml:space="preserve"> Ella Jackson</t>
  </si>
  <si>
    <t xml:space="preserve"> Margaret Harris</t>
  </si>
  <si>
    <t xml:space="preserve"> Albert Blake</t>
  </si>
  <si>
    <t xml:space="preserve"> Georgia Parks</t>
  </si>
  <si>
    <t xml:space="preserve"> Irene Martin</t>
  </si>
  <si>
    <t xml:space="preserve"> Gilberto Cox</t>
  </si>
  <si>
    <t xml:space="preserve"> Hubert Pearson</t>
  </si>
  <si>
    <t xml:space="preserve"> Willis Graham</t>
  </si>
  <si>
    <t xml:space="preserve"> Don Morris</t>
  </si>
  <si>
    <t xml:space="preserve"> Lela Day</t>
  </si>
  <si>
    <t xml:space="preserve"> Jonathan Taylor</t>
  </si>
  <si>
    <t xml:space="preserve"> Mary Maxwell</t>
  </si>
  <si>
    <t xml:space="preserve"> Jared Simpson</t>
  </si>
  <si>
    <t xml:space="preserve"> Amos Harrison</t>
  </si>
  <si>
    <t xml:space="preserve"> Mack Logan</t>
  </si>
  <si>
    <t xml:space="preserve"> Sonia Pena</t>
  </si>
  <si>
    <t xml:space="preserve"> Willie Brock</t>
  </si>
  <si>
    <t xml:space="preserve"> Christopher Houston</t>
  </si>
  <si>
    <t xml:space="preserve"> Bernard Peters</t>
  </si>
  <si>
    <t xml:space="preserve"> Rex Ortega</t>
  </si>
  <si>
    <t xml:space="preserve"> Nicole Holmes</t>
  </si>
  <si>
    <t xml:space="preserve"> Tracey Patterson</t>
  </si>
  <si>
    <t xml:space="preserve"> Benjamin Morton</t>
  </si>
  <si>
    <t xml:space="preserve"> Amy Jimenez</t>
  </si>
  <si>
    <t xml:space="preserve"> Clifton Dixon</t>
  </si>
  <si>
    <t xml:space="preserve"> Bertha Sanchez</t>
  </si>
  <si>
    <t xml:space="preserve"> Christina Wise</t>
  </si>
  <si>
    <t xml:space="preserve"> Hannah Phelps</t>
  </si>
  <si>
    <t xml:space="preserve"> Clinton Ramirez</t>
  </si>
  <si>
    <t xml:space="preserve"> Teresa Carpenter</t>
  </si>
  <si>
    <t xml:space="preserve"> Cedric Mcgee</t>
  </si>
  <si>
    <t xml:space="preserve"> Joyce Chambers</t>
  </si>
  <si>
    <t xml:space="preserve"> Manuel Rogers</t>
  </si>
  <si>
    <t xml:space="preserve"> Rodolfo Herrera</t>
  </si>
  <si>
    <t xml:space="preserve"> Wendell Turner</t>
  </si>
  <si>
    <t xml:space="preserve"> Gretchen Payne</t>
  </si>
  <si>
    <t xml:space="preserve"> Calvin Potter</t>
  </si>
  <si>
    <t xml:space="preserve"> Gordon Cook</t>
  </si>
  <si>
    <t>Grade</t>
  </si>
  <si>
    <t>C</t>
  </si>
  <si>
    <t>Less Than 40</t>
  </si>
  <si>
    <t>Criteria (marks)</t>
  </si>
  <si>
    <t>B+</t>
  </si>
  <si>
    <t>B</t>
  </si>
  <si>
    <t>A</t>
  </si>
  <si>
    <t>A+</t>
  </si>
  <si>
    <t>With Red Color</t>
  </si>
  <si>
    <t>With Green Color</t>
  </si>
  <si>
    <t>Condition</t>
  </si>
  <si>
    <t>Quarter</t>
  </si>
  <si>
    <t>Zone</t>
  </si>
  <si>
    <t>Salesperson</t>
  </si>
  <si>
    <t>Category</t>
  </si>
  <si>
    <t>Payment Type</t>
  </si>
  <si>
    <t>Unit Price</t>
  </si>
  <si>
    <t>Total</t>
  </si>
  <si>
    <t>Q1</t>
  </si>
  <si>
    <t>East</t>
  </si>
  <si>
    <t>Jan Kotas</t>
  </si>
  <si>
    <t>Tea</t>
  </si>
  <si>
    <t>Green</t>
  </si>
  <si>
    <t>Cash</t>
  </si>
  <si>
    <t>Q2</t>
  </si>
  <si>
    <t>Anne Hellung-Larsen</t>
  </si>
  <si>
    <t>Black</t>
  </si>
  <si>
    <t>Andrew Cencini</t>
  </si>
  <si>
    <t>Wine</t>
  </si>
  <si>
    <t>Merlot</t>
  </si>
  <si>
    <t>Check</t>
  </si>
  <si>
    <t>Robert Zare</t>
  </si>
  <si>
    <t>Mariya Sergienko</t>
  </si>
  <si>
    <t>Q4</t>
  </si>
  <si>
    <t>Nancy Freehafer</t>
  </si>
  <si>
    <t>Credit Card</t>
  </si>
  <si>
    <t>Employee No</t>
  </si>
  <si>
    <t>Bhanu  K Dhar</t>
  </si>
  <si>
    <t>Jayaram  K S</t>
  </si>
  <si>
    <t>Imran Ali</t>
  </si>
  <si>
    <t>Vasu KS</t>
  </si>
  <si>
    <t>Mohammed</t>
  </si>
  <si>
    <t>Ramesh  Devadiga</t>
  </si>
  <si>
    <t>James P</t>
  </si>
  <si>
    <t>Location</t>
  </si>
  <si>
    <t>Bangalore</t>
  </si>
  <si>
    <t>Chennai</t>
  </si>
  <si>
    <t>Hyderbad</t>
  </si>
  <si>
    <t>Tamil Nadu</t>
  </si>
  <si>
    <t>Delhi</t>
  </si>
  <si>
    <t>Cochin</t>
  </si>
  <si>
    <t>Employee Name</t>
  </si>
  <si>
    <t>Designation</t>
  </si>
  <si>
    <t>State</t>
  </si>
  <si>
    <t>Department</t>
  </si>
  <si>
    <t>CTM-0001</t>
  </si>
  <si>
    <t>Kaushik  Mukherjee</t>
  </si>
  <si>
    <t>Chief Executive Officer</t>
  </si>
  <si>
    <t>Karnataka</t>
  </si>
  <si>
    <t>Corporate</t>
  </si>
  <si>
    <t>CTM-0166</t>
  </si>
  <si>
    <t>CTM-0066</t>
  </si>
  <si>
    <t>Manab  Mukherjee</t>
  </si>
  <si>
    <t>Joint Assistant General Manager (F&amp;A)</t>
  </si>
  <si>
    <t>Finance &amp; Accounts</t>
  </si>
  <si>
    <t>CTM-0191</t>
  </si>
  <si>
    <t>CTM-0094</t>
  </si>
  <si>
    <t>Subhash  Chandrar</t>
  </si>
  <si>
    <t>Senior Construction Manager</t>
  </si>
  <si>
    <t>Engineering</t>
  </si>
  <si>
    <t>CTM-0266</t>
  </si>
  <si>
    <t>CTM-0103</t>
  </si>
  <si>
    <t>Suvendu  Satpati</t>
  </si>
  <si>
    <t>Sr Accountant</t>
  </si>
  <si>
    <t>CTM-0273</t>
  </si>
  <si>
    <t>CTM-0113</t>
  </si>
  <si>
    <t>Shrinivas  T Nair</t>
  </si>
  <si>
    <t>Joint General Manager (Projects)</t>
  </si>
  <si>
    <t>CTM-0365</t>
  </si>
  <si>
    <t>CTM-0115</t>
  </si>
  <si>
    <t>Sadiq  Ahmed Ansari</t>
  </si>
  <si>
    <t>Senior Artist</t>
  </si>
  <si>
    <t>West Bengal</t>
  </si>
  <si>
    <t>HR &amp; Administration</t>
  </si>
  <si>
    <t>CTM-0368</t>
  </si>
  <si>
    <t>CTM-0118</t>
  </si>
  <si>
    <t>Zidan DV</t>
  </si>
  <si>
    <t>Joint Assistant General Manager (Projects)</t>
  </si>
  <si>
    <t>CTM-0504</t>
  </si>
  <si>
    <t>CTM-0129</t>
  </si>
  <si>
    <t>Shivamurthy C S</t>
  </si>
  <si>
    <t>Project Engineer</t>
  </si>
  <si>
    <t>CTM-0548</t>
  </si>
  <si>
    <t>CTM-0148</t>
  </si>
  <si>
    <t>Mahadev  S Takkalaki</t>
  </si>
  <si>
    <t>Senior Executive Human Resource</t>
  </si>
  <si>
    <t>Orissa</t>
  </si>
  <si>
    <t>Plumbing</t>
  </si>
  <si>
    <t>CTM-0151</t>
  </si>
  <si>
    <t>Ravinathan  V</t>
  </si>
  <si>
    <t>Site Engineer</t>
  </si>
  <si>
    <t>CTM-0781</t>
  </si>
  <si>
    <t>Arijit  Bhattacharjee</t>
  </si>
  <si>
    <t>Vice President (QEOHS)</t>
  </si>
  <si>
    <t>Quality</t>
  </si>
  <si>
    <t>CTM-0170</t>
  </si>
  <si>
    <t>Nagendra  K S</t>
  </si>
  <si>
    <t>Store Keeper</t>
  </si>
  <si>
    <t>Stores</t>
  </si>
  <si>
    <t>CTM-0176</t>
  </si>
  <si>
    <t>Zaina Rafha</t>
  </si>
  <si>
    <t>Deputy Manager (Contracts)</t>
  </si>
  <si>
    <t>Contracts</t>
  </si>
  <si>
    <t>CTM-0181</t>
  </si>
  <si>
    <t>Arun  Kumar Rout</t>
  </si>
  <si>
    <t>Vice President (HR&amp;A)</t>
  </si>
  <si>
    <t>Karunakaran  M</t>
  </si>
  <si>
    <t>Senior Quantity Surveyor</t>
  </si>
  <si>
    <t>Kerala</t>
  </si>
  <si>
    <t>CTM-0192</t>
  </si>
  <si>
    <t>Swapan  Saha</t>
  </si>
  <si>
    <t>Office Assistant</t>
  </si>
  <si>
    <t>CTM-0193</t>
  </si>
  <si>
    <t>Akash</t>
  </si>
  <si>
    <t>Supervisor (Electrical)</t>
  </si>
  <si>
    <t>Electrical</t>
  </si>
  <si>
    <t>CTM-0194</t>
  </si>
  <si>
    <t>Abdulla Ali</t>
  </si>
  <si>
    <t>Senior Executive (Secretary)</t>
  </si>
  <si>
    <t>Secretariate</t>
  </si>
  <si>
    <t>CTM-0195</t>
  </si>
  <si>
    <t>Assistant General Manager (Projects)</t>
  </si>
  <si>
    <t>Goa</t>
  </si>
  <si>
    <t>CTM-0197</t>
  </si>
  <si>
    <t>Koushik  Bhattacharya</t>
  </si>
  <si>
    <t>Sr Executive (Stores)</t>
  </si>
  <si>
    <t>CTM-0200</t>
  </si>
  <si>
    <t>Subhash  Banerjee</t>
  </si>
  <si>
    <t>Joint Assistant General Manager (Contracts)</t>
  </si>
  <si>
    <t>CTM-0201</t>
  </si>
  <si>
    <t>Executive (F&amp;A)</t>
  </si>
  <si>
    <t>CTM-0202</t>
  </si>
  <si>
    <t>Atanu Das  Gupta</t>
  </si>
  <si>
    <t>Junior Engineer (P&amp;M)</t>
  </si>
  <si>
    <t>Logistics</t>
  </si>
  <si>
    <t>CTM-0206</t>
  </si>
  <si>
    <t>Ravi  Kumar C</t>
  </si>
  <si>
    <t>Junior Accountant</t>
  </si>
  <si>
    <t>CTM-0207</t>
  </si>
  <si>
    <t>Anjan  Sarkar</t>
  </si>
  <si>
    <t>Senior Executive (Systems)</t>
  </si>
  <si>
    <t>IT &amp; ITES</t>
  </si>
  <si>
    <t>CTM-0208</t>
  </si>
  <si>
    <t>Bikash Chandra  Mondal</t>
  </si>
  <si>
    <t>Senior Engineer (Planning)</t>
  </si>
  <si>
    <t>Planning</t>
  </si>
  <si>
    <t>CTM-0209</t>
  </si>
  <si>
    <t>CTM-0210</t>
  </si>
  <si>
    <t>Jadunandan  Bhunia</t>
  </si>
  <si>
    <t>Assistant Vice President (Contracts)</t>
  </si>
  <si>
    <t>Manoj Kumar  Mishra</t>
  </si>
  <si>
    <t>Foreman (Operator)</t>
  </si>
  <si>
    <t>Suman  Burman</t>
  </si>
  <si>
    <t>Foreman (P&amp;M)</t>
  </si>
  <si>
    <t>CTM-0293</t>
  </si>
  <si>
    <t>Sukumar Roy  Chowdhury</t>
  </si>
  <si>
    <t>Sr Manager (HR&amp;A)</t>
  </si>
  <si>
    <t>CTM-0321</t>
  </si>
  <si>
    <t>Biswajit  Chowdhury</t>
  </si>
  <si>
    <t>Foreman</t>
  </si>
  <si>
    <t>CTM-0334</t>
  </si>
  <si>
    <t>Tapan Kumar Biswal</t>
  </si>
  <si>
    <t>Executive (Stores)</t>
  </si>
  <si>
    <t>CTM-0337</t>
  </si>
  <si>
    <t>Nem  Dhari Sharma</t>
  </si>
  <si>
    <t>Stores Officer</t>
  </si>
  <si>
    <t>CTM-0363</t>
  </si>
  <si>
    <t>Ajit Kumar  Nag</t>
  </si>
  <si>
    <t>Camp Boss</t>
  </si>
  <si>
    <t>EOHS</t>
  </si>
  <si>
    <t>Amit  Sarkar</t>
  </si>
  <si>
    <t>CTM-0385</t>
  </si>
  <si>
    <t>Govardhana  B</t>
  </si>
  <si>
    <t>Manager (Contracts)</t>
  </si>
  <si>
    <t>CTM-0390</t>
  </si>
  <si>
    <t>Tanmoy  Chattopadhyay</t>
  </si>
  <si>
    <t>CTM-0393</t>
  </si>
  <si>
    <t>Molay Kumar  Naskar</t>
  </si>
  <si>
    <t>Senior Officer (Public Relations)</t>
  </si>
  <si>
    <t>Jharkhand</t>
  </si>
  <si>
    <t>Legal &amp; PR</t>
  </si>
  <si>
    <t>CTM-0398</t>
  </si>
  <si>
    <t>Srikanth  K</t>
  </si>
  <si>
    <t>CTM-0405</t>
  </si>
  <si>
    <t>Subrata  Sarkar</t>
  </si>
  <si>
    <t>Senior Assistant Accountant</t>
  </si>
  <si>
    <t>CTM-0406</t>
  </si>
  <si>
    <t>General Manager (Projects)</t>
  </si>
  <si>
    <t>CTM-0409</t>
  </si>
  <si>
    <t>Arabinda  Karmakar</t>
  </si>
  <si>
    <t>Construction Manager</t>
  </si>
  <si>
    <t>CTM-0419</t>
  </si>
  <si>
    <t>Mohsin</t>
  </si>
  <si>
    <t>Joint Deputy General Manager (Projects)</t>
  </si>
  <si>
    <t>CTM-0452</t>
  </si>
  <si>
    <t>Barlen</t>
  </si>
  <si>
    <t>CTM-0464</t>
  </si>
  <si>
    <t>Nalini</t>
  </si>
  <si>
    <t>HR Manager</t>
  </si>
  <si>
    <t>CTM-0473</t>
  </si>
  <si>
    <t xml:space="preserve">Ashraf </t>
  </si>
  <si>
    <t>CTM-0488</t>
  </si>
  <si>
    <t>Vedatmah</t>
  </si>
  <si>
    <t>Senior Driver</t>
  </si>
  <si>
    <t>CTM-0490</t>
  </si>
  <si>
    <t xml:space="preserve">Kamlesh </t>
  </si>
  <si>
    <t>Deputy Manager (F&amp;A)</t>
  </si>
  <si>
    <t>CTM-0496</t>
  </si>
  <si>
    <t>Gassen</t>
  </si>
  <si>
    <t>Executive (HR&amp;A)</t>
  </si>
  <si>
    <t>Nadeem</t>
  </si>
  <si>
    <t>Manager (F&amp;A)</t>
  </si>
  <si>
    <t>CTM-0505</t>
  </si>
  <si>
    <t xml:space="preserve">Ziyad </t>
  </si>
  <si>
    <t>Senior Deputy General Manager (HR&amp;A)</t>
  </si>
  <si>
    <t>CTM-0528</t>
  </si>
  <si>
    <t>Praveer</t>
  </si>
  <si>
    <t>Senior Vice President (Technical)</t>
  </si>
  <si>
    <t>CTM-0534</t>
  </si>
  <si>
    <t>Yasser</t>
  </si>
  <si>
    <t>General Manager (Contracts)</t>
  </si>
  <si>
    <t>CTM-0541</t>
  </si>
  <si>
    <t>Naseemah</t>
  </si>
  <si>
    <t>CTM-0544</t>
  </si>
  <si>
    <t>Sadna</t>
  </si>
  <si>
    <t>CTM-0546</t>
  </si>
  <si>
    <t>Melanie</t>
  </si>
  <si>
    <t>CTM-0582</t>
  </si>
  <si>
    <t>Arvin</t>
  </si>
  <si>
    <t>Senior Project Engineer</t>
  </si>
  <si>
    <t>CTM-0594</t>
  </si>
  <si>
    <t>Sweety</t>
  </si>
  <si>
    <t>Senior Manager (Logistics)</t>
  </si>
  <si>
    <t>CTM-0597</t>
  </si>
  <si>
    <t>Nadiyah</t>
  </si>
  <si>
    <t>Senior Secretary</t>
  </si>
  <si>
    <t>CTM-0623</t>
  </si>
  <si>
    <t xml:space="preserve">Julien </t>
  </si>
  <si>
    <t>CTM-0636</t>
  </si>
  <si>
    <t xml:space="preserve">Ajmal </t>
  </si>
  <si>
    <t>Senior Accountant</t>
  </si>
  <si>
    <t>CTM-0658</t>
  </si>
  <si>
    <t xml:space="preserve">Shaheen </t>
  </si>
  <si>
    <t>Deputy Construction Manager</t>
  </si>
  <si>
    <t>CTM-0696</t>
  </si>
  <si>
    <t>Amiirah</t>
  </si>
  <si>
    <t>CTM-0715</t>
  </si>
  <si>
    <t>Martine</t>
  </si>
  <si>
    <t>CTM-0732</t>
  </si>
  <si>
    <t>Rajiv</t>
  </si>
  <si>
    <t>Accountant</t>
  </si>
  <si>
    <t>Bihar</t>
  </si>
  <si>
    <t>CTM-0747</t>
  </si>
  <si>
    <t xml:space="preserve">Joytee </t>
  </si>
  <si>
    <t>Senior Executive (F&amp;A)</t>
  </si>
  <si>
    <t>CTM-0756</t>
  </si>
  <si>
    <t xml:space="preserve">katijah </t>
  </si>
  <si>
    <t>Senior Executive (Contracts)</t>
  </si>
  <si>
    <t>CTM-0764</t>
  </si>
  <si>
    <t>Sunita</t>
  </si>
  <si>
    <t>Senior Executive (Quality)</t>
  </si>
  <si>
    <t>CTM-0770</t>
  </si>
  <si>
    <t>Vishal</t>
  </si>
  <si>
    <t>CTM-0776</t>
  </si>
  <si>
    <t>Tina</t>
  </si>
  <si>
    <t>Sr Site Engineer</t>
  </si>
  <si>
    <t>CTM-0778</t>
  </si>
  <si>
    <t>Asif</t>
  </si>
  <si>
    <t>Quantity Surveyor</t>
  </si>
  <si>
    <t>CTM-0779</t>
  </si>
  <si>
    <t>Sanjay</t>
  </si>
  <si>
    <t>Kamini</t>
  </si>
  <si>
    <t>Manager (Planning)</t>
  </si>
  <si>
    <t>CTM-0785</t>
  </si>
  <si>
    <t>THILAKHAN MADAYAN KELOTH</t>
  </si>
  <si>
    <t>Telangana</t>
  </si>
  <si>
    <t>CTM-0818</t>
  </si>
  <si>
    <t xml:space="preserve">Mooneeza </t>
  </si>
  <si>
    <t>Senior Officer (Stores)</t>
  </si>
  <si>
    <t>CTM-0839</t>
  </si>
  <si>
    <t xml:space="preserve">Vimal </t>
  </si>
  <si>
    <t>Senior Engineer (P&amp;M)</t>
  </si>
  <si>
    <t>CTM-0868</t>
  </si>
  <si>
    <t>Sheriff</t>
  </si>
  <si>
    <t>CTM-0875</t>
  </si>
  <si>
    <t>Shantee</t>
  </si>
  <si>
    <t>Senior Officer (HR&amp;A)</t>
  </si>
  <si>
    <t>CTM-0899</t>
  </si>
  <si>
    <t>Vinaye</t>
  </si>
  <si>
    <t>CTM-0916</t>
  </si>
  <si>
    <t>Swastee</t>
  </si>
  <si>
    <t>CTM-0933</t>
  </si>
  <si>
    <t>Lalita</t>
  </si>
  <si>
    <t>CTM-0934</t>
  </si>
  <si>
    <t>Sheetul</t>
  </si>
  <si>
    <t>Senior Officer (Assets)</t>
  </si>
  <si>
    <t>Capex/Asset</t>
  </si>
  <si>
    <t>CTM-0953</t>
  </si>
  <si>
    <t>Veena  K</t>
  </si>
  <si>
    <t>Senior Assistant (Front Office)</t>
  </si>
  <si>
    <t>CTM-0971</t>
  </si>
  <si>
    <t>Subramanyam  V</t>
  </si>
  <si>
    <t>Internal Auditor</t>
  </si>
  <si>
    <t>Internal Audit</t>
  </si>
  <si>
    <t>CTM-0994</t>
  </si>
  <si>
    <t>Manohar  Kumar</t>
  </si>
  <si>
    <t>Sr Foreman</t>
  </si>
  <si>
    <t>CTM-0996</t>
  </si>
  <si>
    <t>Dada Khalandara B</t>
  </si>
  <si>
    <t>CTM-0999</t>
  </si>
  <si>
    <t>Madhu  N</t>
  </si>
  <si>
    <t>Executive (Contracts)</t>
  </si>
  <si>
    <t>CTM-1001</t>
  </si>
  <si>
    <t>Lingaraj  Bendigeri</t>
  </si>
  <si>
    <t>CTM-1027</t>
  </si>
  <si>
    <t>Umesh  K V</t>
  </si>
  <si>
    <t>Senior Site Engineer</t>
  </si>
  <si>
    <t>CTM-1032</t>
  </si>
  <si>
    <t>Rampukar  Yadav</t>
  </si>
  <si>
    <t>Supervisor (P&amp;M)</t>
  </si>
  <si>
    <t>CTM-1034</t>
  </si>
  <si>
    <t>Lokesh  R</t>
  </si>
  <si>
    <t>CTM-1035</t>
  </si>
  <si>
    <t>Preetham H L</t>
  </si>
  <si>
    <t>CTM-1040</t>
  </si>
  <si>
    <t>Prakash  Patra</t>
  </si>
  <si>
    <t>CTM-1044</t>
  </si>
  <si>
    <t>Dhiren Kumar Mallick</t>
  </si>
  <si>
    <t>CTM-1045</t>
  </si>
  <si>
    <t>Narasimharaju  G</t>
  </si>
  <si>
    <t>Chargehand</t>
  </si>
  <si>
    <t>CTM-1059</t>
  </si>
  <si>
    <t>CTM-1070</t>
  </si>
  <si>
    <t>Venkateswara Rao G</t>
  </si>
  <si>
    <t>Senior Executive (Purchase)</t>
  </si>
  <si>
    <t>Purchase</t>
  </si>
  <si>
    <t>CTM-1072</t>
  </si>
  <si>
    <t>Pradeep M Rao</t>
  </si>
  <si>
    <t>General Manager (F&amp;A)</t>
  </si>
  <si>
    <t>CTM-1082</t>
  </si>
  <si>
    <t>Sadananda  Chakraborty</t>
  </si>
  <si>
    <t>CTM-1090</t>
  </si>
  <si>
    <t>Rajkishore  Biswas</t>
  </si>
  <si>
    <t>CTM-1092</t>
  </si>
  <si>
    <t>Animesh  Das</t>
  </si>
  <si>
    <t>CTM-1098</t>
  </si>
  <si>
    <t>Puranta  Bhandari</t>
  </si>
  <si>
    <t>CTM-1099</t>
  </si>
  <si>
    <t>Subhra  De</t>
  </si>
  <si>
    <t>CTM-1103</t>
  </si>
  <si>
    <t>David Raja A</t>
  </si>
  <si>
    <t>CTM-1114</t>
  </si>
  <si>
    <t>Madan  Rana</t>
  </si>
  <si>
    <t>CTM-1116</t>
  </si>
  <si>
    <t>Dhananjaya  K V</t>
  </si>
  <si>
    <t>Officer (Public Relations)</t>
  </si>
  <si>
    <t>CTM-1130</t>
  </si>
  <si>
    <t>Sudipta  Sarkar</t>
  </si>
  <si>
    <t>CTM-1135</t>
  </si>
  <si>
    <t>Naveen K Shetty</t>
  </si>
  <si>
    <t>CTM-1139</t>
  </si>
  <si>
    <t>Anupam  Dutta</t>
  </si>
  <si>
    <t>CTM-1151</t>
  </si>
  <si>
    <t>Vijaya Kumar S</t>
  </si>
  <si>
    <t>Manager (Logistics)</t>
  </si>
  <si>
    <t>CTM-1155</t>
  </si>
  <si>
    <t>Mahesh  Mukund</t>
  </si>
  <si>
    <t>Senior Site Engineer (Surveyor)</t>
  </si>
  <si>
    <t>CTM-1157</t>
  </si>
  <si>
    <t>Biswajit  Mishra</t>
  </si>
  <si>
    <t>Engineer</t>
  </si>
  <si>
    <t>CTM-1165</t>
  </si>
  <si>
    <t>Sakthivel  D</t>
  </si>
  <si>
    <t>CTM-1170</t>
  </si>
  <si>
    <t>Buddheswar  Mahato</t>
  </si>
  <si>
    <t>CTM-1174</t>
  </si>
  <si>
    <t>Chaya Kumar A</t>
  </si>
  <si>
    <t>CTM-1188</t>
  </si>
  <si>
    <t>Senior Executive (P&amp;M)</t>
  </si>
  <si>
    <t>CTM-1194</t>
  </si>
  <si>
    <t>Rama Prasad  Sengupta</t>
  </si>
  <si>
    <t>Assistant General Manager (Purchase)</t>
  </si>
  <si>
    <t>CTM-1210</t>
  </si>
  <si>
    <t>Sandeep Kumar Mishra</t>
  </si>
  <si>
    <t>Foreman (Shuttering)</t>
  </si>
  <si>
    <t>CTM-1211</t>
  </si>
  <si>
    <t>Raja  S</t>
  </si>
  <si>
    <t>CTM-1213</t>
  </si>
  <si>
    <t>Ravichandra  K</t>
  </si>
  <si>
    <t>CTM-1217</t>
  </si>
  <si>
    <t>Venkidaramanan  K V</t>
  </si>
  <si>
    <t>Senior Officer (Purchase)</t>
  </si>
  <si>
    <t>CTM-1223</t>
  </si>
  <si>
    <t>Raju  Sharma</t>
  </si>
  <si>
    <t>CTM-1226</t>
  </si>
  <si>
    <t>Indrajit  Paul</t>
  </si>
  <si>
    <t>CTM-1235</t>
  </si>
  <si>
    <t>Vidyadhar  Kulkarni</t>
  </si>
  <si>
    <t>CTM-1242</t>
  </si>
  <si>
    <t>CTM-1248</t>
  </si>
  <si>
    <t>Manoj Kumar  Jana</t>
  </si>
  <si>
    <t>CTM-1250</t>
  </si>
  <si>
    <t>Subrata  Mahapatra</t>
  </si>
  <si>
    <t>Sr Store Keeper</t>
  </si>
  <si>
    <t>CTM-1252</t>
  </si>
  <si>
    <t>Raghunandan  M</t>
  </si>
  <si>
    <t>CTM-1254</t>
  </si>
  <si>
    <t>Tiken Singh Sanasam</t>
  </si>
  <si>
    <t>Assistant Camp Boss</t>
  </si>
  <si>
    <t>CTM-1263</t>
  </si>
  <si>
    <t>Soumya  Mukherjee</t>
  </si>
  <si>
    <t>CTM-1267</t>
  </si>
  <si>
    <t>Ranajit  Majumdar</t>
  </si>
  <si>
    <t>Junior Engineer</t>
  </si>
  <si>
    <t>CTM-1272</t>
  </si>
  <si>
    <t>Basu Deb  Banerjee</t>
  </si>
  <si>
    <t>Executive (EOHS)</t>
  </si>
  <si>
    <t>CTM-1273</t>
  </si>
  <si>
    <t>Anil  Mahale</t>
  </si>
  <si>
    <t>CTM-1276</t>
  </si>
  <si>
    <t>Shekar  P</t>
  </si>
  <si>
    <t>CTM-1284</t>
  </si>
  <si>
    <t>Joint Deputy General Manager (Medical Officer)</t>
  </si>
  <si>
    <t>CTM-1287</t>
  </si>
  <si>
    <t>Narasimhaiah  P L</t>
  </si>
  <si>
    <t>Officer (EOHS)</t>
  </si>
  <si>
    <t>CTM-1290</t>
  </si>
  <si>
    <t>Ramdhas  G</t>
  </si>
  <si>
    <t>Senior Assistant (Stores)</t>
  </si>
  <si>
    <t>CTM-1303</t>
  </si>
  <si>
    <t>Vinodh Kumar R C</t>
  </si>
  <si>
    <t>CTM-1305</t>
  </si>
  <si>
    <t>Goutam Kumar  Mitra</t>
  </si>
  <si>
    <t>CTM-1322</t>
  </si>
  <si>
    <t>Anitha  S</t>
  </si>
  <si>
    <t>CTM-1327</t>
  </si>
  <si>
    <t>Swarupananda  Mukhopadhyay</t>
  </si>
  <si>
    <t>Assistant General Manager (EOHS)</t>
  </si>
  <si>
    <t>CTM-1340</t>
  </si>
  <si>
    <t>CTM-1352</t>
  </si>
  <si>
    <t>Sr Executive (P&amp;M)</t>
  </si>
  <si>
    <t>CTM-1359</t>
  </si>
  <si>
    <t>Assistant Male Nurse</t>
  </si>
  <si>
    <t>CTM-1371</t>
  </si>
  <si>
    <t>CTM-1374</t>
  </si>
  <si>
    <t>Junior Officer (EOHS)</t>
  </si>
  <si>
    <t>CTM-1387</t>
  </si>
  <si>
    <t>CTM-1388</t>
  </si>
  <si>
    <t>Gopal  M</t>
  </si>
  <si>
    <t>CTM-1390</t>
  </si>
  <si>
    <t>CTM-1416</t>
  </si>
  <si>
    <t>CTM-1417</t>
  </si>
  <si>
    <t>CTM-1419</t>
  </si>
  <si>
    <t>Senior Executive (Internal Audit)</t>
  </si>
  <si>
    <t>CTM-1426</t>
  </si>
  <si>
    <t>CTM-1437</t>
  </si>
  <si>
    <t>Tarapada  Pan</t>
  </si>
  <si>
    <t>CTM-1441</t>
  </si>
  <si>
    <t>Foreman (Plumbing)</t>
  </si>
  <si>
    <t>CTM-1449</t>
  </si>
  <si>
    <t>CTM-1452</t>
  </si>
  <si>
    <t>CTM-1454</t>
  </si>
  <si>
    <t>Jitendra  Kumar Nayak</t>
  </si>
  <si>
    <t>CTM-1458</t>
  </si>
  <si>
    <t>Rabindra Nath  Gangopadhyay</t>
  </si>
  <si>
    <t>Joint Assistant General Manager (Logistics)</t>
  </si>
  <si>
    <t>CTM-1462</t>
  </si>
  <si>
    <t>Supervisor (Finishing)</t>
  </si>
  <si>
    <t>CTM-1465</t>
  </si>
  <si>
    <t>CTM-1489</t>
  </si>
  <si>
    <t>CTM-1516</t>
  </si>
  <si>
    <t>Santanu  Pal</t>
  </si>
  <si>
    <t>CTM-1518</t>
  </si>
  <si>
    <t>Purchase Incharge</t>
  </si>
  <si>
    <t>CTM-1525</t>
  </si>
  <si>
    <t>Senior Electrician</t>
  </si>
  <si>
    <t>CTM-1527</t>
  </si>
  <si>
    <t>CTM-1529</t>
  </si>
  <si>
    <t>CTM-1532</t>
  </si>
  <si>
    <t>CTM-1535</t>
  </si>
  <si>
    <t>Supervisor</t>
  </si>
  <si>
    <t>CTM-1549</t>
  </si>
  <si>
    <t>Senior Deputy General Manager (F&amp;A)</t>
  </si>
  <si>
    <t>CTM-1556</t>
  </si>
  <si>
    <t>CTM-1559</t>
  </si>
  <si>
    <t>CTM-1562</t>
  </si>
  <si>
    <t>CTM-1575</t>
  </si>
  <si>
    <t>Senior Officer (Systems)</t>
  </si>
  <si>
    <t>CTM-1579</t>
  </si>
  <si>
    <t>CTM-1581</t>
  </si>
  <si>
    <t>CTM-1586</t>
  </si>
  <si>
    <t>Senior Mechanic</t>
  </si>
  <si>
    <t>CTM-1587</t>
  </si>
  <si>
    <t>Officer (HR&amp;A)</t>
  </si>
  <si>
    <t>CTM-1590</t>
  </si>
  <si>
    <t>Senior Assistant Camp Boss</t>
  </si>
  <si>
    <t>CTM-1603</t>
  </si>
  <si>
    <t>Engineer (P&amp;M)</t>
  </si>
  <si>
    <t>CTM-1604</t>
  </si>
  <si>
    <t>Foreman (Electrical)</t>
  </si>
  <si>
    <t>CTM-1609</t>
  </si>
  <si>
    <t>CTM-1611</t>
  </si>
  <si>
    <t>CTM-1619</t>
  </si>
  <si>
    <t>CTM-1633</t>
  </si>
  <si>
    <t>CTM-1634</t>
  </si>
  <si>
    <t>Dipendu  Karmakar</t>
  </si>
  <si>
    <t>CTM-1638</t>
  </si>
  <si>
    <t>Ashis Kumar  Sen</t>
  </si>
  <si>
    <t>CTM-1649</t>
  </si>
  <si>
    <t>Prasenjit  Chakraborty</t>
  </si>
  <si>
    <t>CTM-1663</t>
  </si>
  <si>
    <t>Divakaran  P</t>
  </si>
  <si>
    <t>Deputy General Manager (Internal Audit)</t>
  </si>
  <si>
    <t>CTM-1664</t>
  </si>
  <si>
    <t>Bhaskar  Chakrabortty</t>
  </si>
  <si>
    <t>CTM-1684</t>
  </si>
  <si>
    <t>Shiva  Kumar S</t>
  </si>
  <si>
    <t>Junior Quantity Surveyor</t>
  </si>
  <si>
    <t>CTM-1686</t>
  </si>
  <si>
    <t>Roshan Kumar  Singh</t>
  </si>
  <si>
    <t>Engineer (QA/QC)</t>
  </si>
  <si>
    <t>CTM-1688</t>
  </si>
  <si>
    <t>Murali  K</t>
  </si>
  <si>
    <t>CTM-1698</t>
  </si>
  <si>
    <t>Birbal  Ram</t>
  </si>
  <si>
    <t>CTM-1699</t>
  </si>
  <si>
    <t>Shyamal Kumar  Chatterjee</t>
  </si>
  <si>
    <t>Senior Assistant (EOHS)</t>
  </si>
  <si>
    <t>CTM-1700</t>
  </si>
  <si>
    <t>CTM-1707</t>
  </si>
  <si>
    <t>Tusar  Biswas</t>
  </si>
  <si>
    <t>CTM-1717</t>
  </si>
  <si>
    <t>Supreeth  T</t>
  </si>
  <si>
    <t>CTM-1731</t>
  </si>
  <si>
    <t>Prakash  H Radhapur</t>
  </si>
  <si>
    <t>Assistant (EOHS)</t>
  </si>
  <si>
    <t>CTM-1760</t>
  </si>
  <si>
    <t>Jathesh T K</t>
  </si>
  <si>
    <t>Senior Internal Auditor</t>
  </si>
  <si>
    <t>CTM-1762</t>
  </si>
  <si>
    <t>Prashanth  B</t>
  </si>
  <si>
    <t>CTM-1764</t>
  </si>
  <si>
    <t>Sunanda Kumar  Maiti</t>
  </si>
  <si>
    <t>CTM-1781</t>
  </si>
  <si>
    <t>CTM-1788</t>
  </si>
  <si>
    <t>Santhosh Kumar G</t>
  </si>
  <si>
    <t>CTM-1791</t>
  </si>
  <si>
    <t>Ranjeet Kumar  Singh</t>
  </si>
  <si>
    <t>CTM-1795</t>
  </si>
  <si>
    <t>Anis  Chattopadhyay</t>
  </si>
  <si>
    <t>CTM-1796</t>
  </si>
  <si>
    <t>Sudheer  Prasad A</t>
  </si>
  <si>
    <t>CTM-1797</t>
  </si>
  <si>
    <t>Prakash Phanikkar K R</t>
  </si>
  <si>
    <t>CTM-1800</t>
  </si>
  <si>
    <t>Basavaraj H D</t>
  </si>
  <si>
    <t>Senior Executive (EOHS)</t>
  </si>
  <si>
    <t>CTM-1803</t>
  </si>
  <si>
    <t>CTM-1804</t>
  </si>
  <si>
    <t>Hariprasad  .</t>
  </si>
  <si>
    <t>CTM-1810</t>
  </si>
  <si>
    <t>Rajesh Kumar Prajapati</t>
  </si>
  <si>
    <t>CTM-1814</t>
  </si>
  <si>
    <t>Uday Kumar Shetty</t>
  </si>
  <si>
    <t>CTM-1815</t>
  </si>
  <si>
    <t>Santanu  Chakrabartty</t>
  </si>
  <si>
    <t>CTM-1821</t>
  </si>
  <si>
    <t>Mochiram  Nayak</t>
  </si>
  <si>
    <t>CTM-1822</t>
  </si>
  <si>
    <t>Krishnaraju  V</t>
  </si>
  <si>
    <t>CTM-1823</t>
  </si>
  <si>
    <t>Hemanth S V</t>
  </si>
  <si>
    <t>CTM-1834</t>
  </si>
  <si>
    <t>Bhuvaneswar  M</t>
  </si>
  <si>
    <t>CTM-1838</t>
  </si>
  <si>
    <t>Narottom  Biswas</t>
  </si>
  <si>
    <t>CTM-1849</t>
  </si>
  <si>
    <t>Sripada Raja A</t>
  </si>
  <si>
    <t>Junior Officer (Purchase)</t>
  </si>
  <si>
    <t>CTM-1862</t>
  </si>
  <si>
    <t>Murthy S H</t>
  </si>
  <si>
    <t>CTM-1863</t>
  </si>
  <si>
    <t>Avijit  Dutta</t>
  </si>
  <si>
    <t>Senior Deputy General Manager (Projects)</t>
  </si>
  <si>
    <t>CTM-1864</t>
  </si>
  <si>
    <t>Chanchal  Mondal</t>
  </si>
  <si>
    <t>Office Boy</t>
  </si>
  <si>
    <t>CTM-1871</t>
  </si>
  <si>
    <t>Mithilesh  Singh</t>
  </si>
  <si>
    <t>CTM-1873</t>
  </si>
  <si>
    <t>Ramakrishna  K</t>
  </si>
  <si>
    <t>Junior Camp Boss</t>
  </si>
  <si>
    <t>CTM-1874</t>
  </si>
  <si>
    <t>Raja Reddy G V</t>
  </si>
  <si>
    <t>Supervisor (Barbending)</t>
  </si>
  <si>
    <t>CTM-1879</t>
  </si>
  <si>
    <t>Rudraiah Naidu G</t>
  </si>
  <si>
    <t>CTM-1884</t>
  </si>
  <si>
    <t>Mahadeb  Karar</t>
  </si>
  <si>
    <t>CTM-1891</t>
  </si>
  <si>
    <t>Prajesh C Kumar</t>
  </si>
  <si>
    <t>CTM-1900</t>
  </si>
  <si>
    <t>Pradeep Kumar  Nayak</t>
  </si>
  <si>
    <t>Assistant (Stores)</t>
  </si>
  <si>
    <t>CTM-1901</t>
  </si>
  <si>
    <t>Ranjeet  Singh</t>
  </si>
  <si>
    <t>CTM-1904</t>
  </si>
  <si>
    <t>CTM-1906</t>
  </si>
  <si>
    <t>Gopinath  Ghosh</t>
  </si>
  <si>
    <t>CTM-1914</t>
  </si>
  <si>
    <t>Prakash Kumar  Mohanty</t>
  </si>
  <si>
    <t>CTM-1930</t>
  </si>
  <si>
    <t>Baloji  Mood</t>
  </si>
  <si>
    <t>CTM-1931</t>
  </si>
  <si>
    <t>Arup Kumar Mukherjee</t>
  </si>
  <si>
    <t>CTM-1934</t>
  </si>
  <si>
    <t>Rajesh Kumar  Jha</t>
  </si>
  <si>
    <t>CTM-1940</t>
  </si>
  <si>
    <t>Ashish Kumar  Nag</t>
  </si>
  <si>
    <t>Junior Engineer (Electrical)</t>
  </si>
  <si>
    <t>CTM-1941</t>
  </si>
  <si>
    <t>Sib Sankar Debnath</t>
  </si>
  <si>
    <t>CTM-1945</t>
  </si>
  <si>
    <t>Pradeep Kumar  B C</t>
  </si>
  <si>
    <t>Officer (Systems)</t>
  </si>
  <si>
    <t>CTM-1947</t>
  </si>
  <si>
    <t>Biswajit  Sardar</t>
  </si>
  <si>
    <t>CTM-1953</t>
  </si>
  <si>
    <t>Sukanta  Mondal</t>
  </si>
  <si>
    <t>CTM-1961</t>
  </si>
  <si>
    <t>Sandeep  S Baddi</t>
  </si>
  <si>
    <t>CTM-1966</t>
  </si>
  <si>
    <t>Prashath  Kumar M</t>
  </si>
  <si>
    <t>CTM-1980</t>
  </si>
  <si>
    <t>Chinmoy  Mandal</t>
  </si>
  <si>
    <t>CTM-1983</t>
  </si>
  <si>
    <t>Ravi  B</t>
  </si>
  <si>
    <t>Deputy Manager (Quality)</t>
  </si>
  <si>
    <t>CTM-1993</t>
  </si>
  <si>
    <t>Phanikanth  Surapaneni</t>
  </si>
  <si>
    <t>CTM-1995</t>
  </si>
  <si>
    <t>Sudip  Paik</t>
  </si>
  <si>
    <t>Senior Assistant (HR&amp; A)</t>
  </si>
  <si>
    <t>CTM-1997</t>
  </si>
  <si>
    <t>Ramesh Shreepad Hanasi</t>
  </si>
  <si>
    <t>CTM-2017</t>
  </si>
  <si>
    <t>Narendra  Babu N</t>
  </si>
  <si>
    <t>CTM-2018</t>
  </si>
  <si>
    <t>Dibyendu  Roy</t>
  </si>
  <si>
    <t>CTM-2021</t>
  </si>
  <si>
    <t>Shyam Sundar Saha</t>
  </si>
  <si>
    <t>CTM-2024</t>
  </si>
  <si>
    <t>Sheeba  Mathew</t>
  </si>
  <si>
    <t>Senior Assistant Cashier</t>
  </si>
  <si>
    <t>CTM-2028</t>
  </si>
  <si>
    <t>Sanjib  Mallick</t>
  </si>
  <si>
    <t>CTM-2047</t>
  </si>
  <si>
    <t>Saumya  Lahiri</t>
  </si>
  <si>
    <t>CTM-2056</t>
  </si>
  <si>
    <t>Malaki  Manda</t>
  </si>
  <si>
    <t>CTM-2058</t>
  </si>
  <si>
    <t>Jaya Kumar  R</t>
  </si>
  <si>
    <t>CTM-2059</t>
  </si>
  <si>
    <t>Dharmapal K  N</t>
  </si>
  <si>
    <t>CTM-2060</t>
  </si>
  <si>
    <t>Umashankar  V</t>
  </si>
  <si>
    <t>CTM-2061</t>
  </si>
  <si>
    <t>Murugesh  S</t>
  </si>
  <si>
    <t>CTM-2080</t>
  </si>
  <si>
    <t>Harikishan  S</t>
  </si>
  <si>
    <t>CTM-2085</t>
  </si>
  <si>
    <t>Suma  K P</t>
  </si>
  <si>
    <t>CTM-2093</t>
  </si>
  <si>
    <t>Hanumanthappa  M Pujar</t>
  </si>
  <si>
    <t>Accounts Assistant</t>
  </si>
  <si>
    <t>CTM-2103</t>
  </si>
  <si>
    <t>Raghavendra  E</t>
  </si>
  <si>
    <t>CTM-2105</t>
  </si>
  <si>
    <t>Chandrashekar K Rao Kadam</t>
  </si>
  <si>
    <t>Junior Engineer (QA/QC)</t>
  </si>
  <si>
    <t>CTM-2119</t>
  </si>
  <si>
    <t>Purandara Rai N S</t>
  </si>
  <si>
    <t>CTM-2127</t>
  </si>
  <si>
    <t>Pritam  Patra</t>
  </si>
  <si>
    <t>CTM-2135</t>
  </si>
  <si>
    <t>Amarapraja</t>
  </si>
  <si>
    <t>Executive (Planning)</t>
  </si>
  <si>
    <t>CTM-2148</t>
  </si>
  <si>
    <t>Srinivas  M</t>
  </si>
  <si>
    <t>CTM-2150</t>
  </si>
  <si>
    <t>Maruthi Prakash S R</t>
  </si>
  <si>
    <t>CTM-2156</t>
  </si>
  <si>
    <t>Debiprasad  Biswas</t>
  </si>
  <si>
    <t>CTM-2159</t>
  </si>
  <si>
    <t>Bablu  Maiti</t>
  </si>
  <si>
    <t>CTM-2164</t>
  </si>
  <si>
    <t>Dal Bir  Singh</t>
  </si>
  <si>
    <t>CTM-2178</t>
  </si>
  <si>
    <t>Dilip Singh Shekhawat</t>
  </si>
  <si>
    <t>Senior Assistant Male Nurse</t>
  </si>
  <si>
    <t>CTM-2182</t>
  </si>
  <si>
    <t>Jitendra  Singh</t>
  </si>
  <si>
    <t>CTM-2185</t>
  </si>
  <si>
    <t>Abdul  Rakheeb</t>
  </si>
  <si>
    <t>CTM-2187</t>
  </si>
  <si>
    <t>Ashoke  Dutta</t>
  </si>
  <si>
    <t>CTM-2192</t>
  </si>
  <si>
    <t>Iqbal Rosul  Mazumder</t>
  </si>
  <si>
    <t>CTM-2193</t>
  </si>
  <si>
    <t>Abdul Hakeem B  K</t>
  </si>
  <si>
    <t>CTM-2199</t>
  </si>
  <si>
    <t>Nanda Kishore Singh</t>
  </si>
  <si>
    <t>CTM-2201</t>
  </si>
  <si>
    <t>Mukul  Shrivastava</t>
  </si>
  <si>
    <t>Assistant General Manager (Contracts)</t>
  </si>
  <si>
    <t>CTM-2213</t>
  </si>
  <si>
    <t>Ajit Pal Singh</t>
  </si>
  <si>
    <t>Senior Site Engineer (Barbending)</t>
  </si>
  <si>
    <t>CTM-2216</t>
  </si>
  <si>
    <t>Venkat Rao V</t>
  </si>
  <si>
    <t>CTM-2229</t>
  </si>
  <si>
    <t>Bandhudas  Maiti</t>
  </si>
  <si>
    <t>CTM-2236</t>
  </si>
  <si>
    <t>Sudipta  Adak</t>
  </si>
  <si>
    <t>CTM-2242</t>
  </si>
  <si>
    <t>Ranjith  Pramanik</t>
  </si>
  <si>
    <t>CTM-2253</t>
  </si>
  <si>
    <t>Ashok Kumar Mishra</t>
  </si>
  <si>
    <t>CTM-2255</t>
  </si>
  <si>
    <t>Manab  Ghosh</t>
  </si>
  <si>
    <t>CTM-2257</t>
  </si>
  <si>
    <t>Bibhuti Bhusan  Panigrahi</t>
  </si>
  <si>
    <t>CTM-2260</t>
  </si>
  <si>
    <t>Prem Chand  Vishwakarma</t>
  </si>
  <si>
    <t>CTM-2268</t>
  </si>
  <si>
    <t>Gopinath H  T</t>
  </si>
  <si>
    <t>CTM-2271</t>
  </si>
  <si>
    <t>Rajesh S Salian</t>
  </si>
  <si>
    <t>CTM-2277</t>
  </si>
  <si>
    <t>Ujjal  Koley</t>
  </si>
  <si>
    <t>CTM-2279</t>
  </si>
  <si>
    <t>Srinivas Reddy  V</t>
  </si>
  <si>
    <t>CTM-2298</t>
  </si>
  <si>
    <t>Dhanesh V  M</t>
  </si>
  <si>
    <t>CTM-2305</t>
  </si>
  <si>
    <t>Neeta  Ganguly</t>
  </si>
  <si>
    <t>CTM-2307</t>
  </si>
  <si>
    <t>Chinmoy  Acharya</t>
  </si>
  <si>
    <t>CTM-2311</t>
  </si>
  <si>
    <t>Uttam Roy  Chowdhury</t>
  </si>
  <si>
    <t>CTM-2332</t>
  </si>
  <si>
    <t>Sandesh  Kumar</t>
  </si>
  <si>
    <t>Junior Engineer (Finishing)</t>
  </si>
  <si>
    <t>CTM-2334</t>
  </si>
  <si>
    <t>Rafi Ahmed R A</t>
  </si>
  <si>
    <t>Joint General Manager (Plumbing)</t>
  </si>
  <si>
    <t>CTM-2335</t>
  </si>
  <si>
    <t>Raghavendra  Shenoy</t>
  </si>
  <si>
    <t>CTM-2344</t>
  </si>
  <si>
    <t>Prakasha G  R</t>
  </si>
  <si>
    <t>CTM-2350</t>
  </si>
  <si>
    <t>Anjan  Dey</t>
  </si>
  <si>
    <t>CTM-2354</t>
  </si>
  <si>
    <t>Madhu H  K</t>
  </si>
  <si>
    <t>CTM-2357</t>
  </si>
  <si>
    <t>Babson Binu  Shile</t>
  </si>
  <si>
    <t>CTM-2359</t>
  </si>
  <si>
    <t>Biswajit  Mondal</t>
  </si>
  <si>
    <t>CTM-2360</t>
  </si>
  <si>
    <t>Arun  Pramanik</t>
  </si>
  <si>
    <t>CTM-2362</t>
  </si>
  <si>
    <t>Shilpa  Kiran</t>
  </si>
  <si>
    <t>Manager (Company Secretary)</t>
  </si>
  <si>
    <t>CTM-2370</t>
  </si>
  <si>
    <t>Soumyajit  Majumder</t>
  </si>
  <si>
    <t>CTM-2374</t>
  </si>
  <si>
    <t>Soma  Das</t>
  </si>
  <si>
    <t>Senior Manager (HR&amp;A)</t>
  </si>
  <si>
    <t>CTM-2382</t>
  </si>
  <si>
    <t>Deepak</t>
  </si>
  <si>
    <t>CTM-2383</t>
  </si>
  <si>
    <t>Shaik Yacoob  Pasha</t>
  </si>
  <si>
    <t>CTM-2389</t>
  </si>
  <si>
    <t>Lepakshappa  M</t>
  </si>
  <si>
    <t>CTM-2398</t>
  </si>
  <si>
    <t>Bijoy  Banerjee</t>
  </si>
  <si>
    <t>Deputy Manager (HR&amp;A)</t>
  </si>
  <si>
    <t>CTM-2402</t>
  </si>
  <si>
    <t>Arindrajit  Ganguly</t>
  </si>
  <si>
    <t>CTM-2410</t>
  </si>
  <si>
    <t>Soumen  Das</t>
  </si>
  <si>
    <t>Foreman (Surveyor)</t>
  </si>
  <si>
    <t>CTM-2417</t>
  </si>
  <si>
    <t>Krishnendu  Sardar</t>
  </si>
  <si>
    <t>Site Engineer (Barbending)</t>
  </si>
  <si>
    <t>CTM-2419</t>
  </si>
  <si>
    <t>Sanjay  Shasmal</t>
  </si>
  <si>
    <t>CTM-2421</t>
  </si>
  <si>
    <t>Basudeb Chandra Sarkar</t>
  </si>
  <si>
    <t>CTM-2429</t>
  </si>
  <si>
    <t>Dinesh  K</t>
  </si>
  <si>
    <t>CTM-2435</t>
  </si>
  <si>
    <t>Yogeesha  K</t>
  </si>
  <si>
    <t>CTM-2436</t>
  </si>
  <si>
    <t>Gajendra Babu L</t>
  </si>
  <si>
    <t>Junior Officer (Assets)</t>
  </si>
  <si>
    <t>CTM-2450</t>
  </si>
  <si>
    <t>Subhendu  Sekhar Paul</t>
  </si>
  <si>
    <t>CTM-2451</t>
  </si>
  <si>
    <t>Sujit  Das</t>
  </si>
  <si>
    <t>CTM-2454</t>
  </si>
  <si>
    <t>Bijoy  Chakraborty</t>
  </si>
  <si>
    <t>CTM-2467</t>
  </si>
  <si>
    <t>Vinay  Kumar</t>
  </si>
  <si>
    <t>Male Nurse</t>
  </si>
  <si>
    <t>CTM-2468</t>
  </si>
  <si>
    <t>Mithun  Sardar</t>
  </si>
  <si>
    <t>Assistant (Internal Audit)</t>
  </si>
  <si>
    <t>CTM-2471</t>
  </si>
  <si>
    <t>Kannan  N</t>
  </si>
  <si>
    <t>CTM-2477</t>
  </si>
  <si>
    <t>Prakash A  Kundi</t>
  </si>
  <si>
    <t>CTM-2478</t>
  </si>
  <si>
    <t>Subrata  Majumder</t>
  </si>
  <si>
    <t>CTM-2482</t>
  </si>
  <si>
    <t>Lokesh Gowda  H L</t>
  </si>
  <si>
    <t>CTM-2485</t>
  </si>
  <si>
    <t>Chandan  Bhaumik</t>
  </si>
  <si>
    <t>CTM-2488</t>
  </si>
  <si>
    <t>Sanjoy  Das</t>
  </si>
  <si>
    <t>CTM-2489</t>
  </si>
  <si>
    <t>Jay  Jana</t>
  </si>
  <si>
    <t>CTM-2496</t>
  </si>
  <si>
    <t>Ganesh Kumar  S</t>
  </si>
  <si>
    <t>CTM-2500</t>
  </si>
  <si>
    <t>Vinay A K</t>
  </si>
  <si>
    <t>CTM-2504</t>
  </si>
  <si>
    <t>Kamal  Nayek</t>
  </si>
  <si>
    <t>CTM-2510</t>
  </si>
  <si>
    <t>Ananda  Kundu</t>
  </si>
  <si>
    <t>CTM-2511</t>
  </si>
  <si>
    <t>Milu  Shaoo</t>
  </si>
  <si>
    <t>CTM-2517</t>
  </si>
  <si>
    <t>Subrata  Das</t>
  </si>
  <si>
    <t>CTM-2518</t>
  </si>
  <si>
    <t>Deepak  Mondal</t>
  </si>
  <si>
    <t>CTM-2523</t>
  </si>
  <si>
    <t>Venkatesh Sreenivas  Murthy</t>
  </si>
  <si>
    <t>CTM-2530</t>
  </si>
  <si>
    <t>Satishkumar  K</t>
  </si>
  <si>
    <t>CTM-2535</t>
  </si>
  <si>
    <t>Samir  Jana</t>
  </si>
  <si>
    <t>Foreman (QA/QC)</t>
  </si>
  <si>
    <t>CTM-2538</t>
  </si>
  <si>
    <t>Jiten  Shit</t>
  </si>
  <si>
    <t>CTM-2540</t>
  </si>
  <si>
    <t>Harihar Kumar Rai</t>
  </si>
  <si>
    <t>CTM-2542</t>
  </si>
  <si>
    <t>Devaraju  S</t>
  </si>
  <si>
    <t>CTM-2543</t>
  </si>
  <si>
    <t>Sunil  Sureka</t>
  </si>
  <si>
    <t>CTM-2553</t>
  </si>
  <si>
    <t>Mohamedikbal  K</t>
  </si>
  <si>
    <t>CTM-2560</t>
  </si>
  <si>
    <t>Shasheendra  Rai</t>
  </si>
  <si>
    <t>CTM-2566</t>
  </si>
  <si>
    <t>Arunkumar  Jalagam</t>
  </si>
  <si>
    <t>CTM-2570</t>
  </si>
  <si>
    <t>Sahadev  Barman</t>
  </si>
  <si>
    <t>CTM-2571</t>
  </si>
  <si>
    <t>Ranajit  Banerjee</t>
  </si>
  <si>
    <t>Joint Assistant General Manager (Medical Officer)</t>
  </si>
  <si>
    <t>CTM-2587</t>
  </si>
  <si>
    <t>Suman  Kumar</t>
  </si>
  <si>
    <t>Executive (Secretary)</t>
  </si>
  <si>
    <t>CTM-2597</t>
  </si>
  <si>
    <t>Probirlal  Manna</t>
  </si>
  <si>
    <t>CTM-2605</t>
  </si>
  <si>
    <t>Samar  Sardar</t>
  </si>
  <si>
    <t>CTM-2609</t>
  </si>
  <si>
    <t>Muntayaj  Khan</t>
  </si>
  <si>
    <t>CTM-2611</t>
  </si>
  <si>
    <t>Pawan  Kumar</t>
  </si>
  <si>
    <t>CTM-2627</t>
  </si>
  <si>
    <t>Arun  Kumar R</t>
  </si>
  <si>
    <t>Senior Manager (Purchase)</t>
  </si>
  <si>
    <t>CTM-2637</t>
  </si>
  <si>
    <t>Rajib Roy Chowdhury</t>
  </si>
  <si>
    <t>CTM-2643</t>
  </si>
  <si>
    <t>Manoj  Arora</t>
  </si>
  <si>
    <t>CTM-2646</t>
  </si>
  <si>
    <t>Vasantha  Kumar C M</t>
  </si>
  <si>
    <t>CTM-2647</t>
  </si>
  <si>
    <t>Chandramouli  H S</t>
  </si>
  <si>
    <t>Senior General Manager (Projects)</t>
  </si>
  <si>
    <t>CTM-2654</t>
  </si>
  <si>
    <t>Varun Kumar Rai S</t>
  </si>
  <si>
    <t>CTM-2657</t>
  </si>
  <si>
    <t>Shambhunath  Mukherjee</t>
  </si>
  <si>
    <t>CTM-2660</t>
  </si>
  <si>
    <t>Lakshmi  M</t>
  </si>
  <si>
    <t>CTM-2667</t>
  </si>
  <si>
    <t>Mohijit  Pramanik</t>
  </si>
  <si>
    <t>CTM-2669</t>
  </si>
  <si>
    <t>Sunil  Dutt</t>
  </si>
  <si>
    <t>CTM-2671</t>
  </si>
  <si>
    <t>Lalan  Kumar</t>
  </si>
  <si>
    <t>Deputy Manager (Legal &amp; PR)</t>
  </si>
  <si>
    <t>CTM-2687</t>
  </si>
  <si>
    <t>Subhas  Santra</t>
  </si>
  <si>
    <t>CTM-2688</t>
  </si>
  <si>
    <t>Anil Kumar R</t>
  </si>
  <si>
    <t>Project Engineer (Barbending)</t>
  </si>
  <si>
    <t>CTM-2689</t>
  </si>
  <si>
    <t>Ashith  Shetty</t>
  </si>
  <si>
    <t>CTM-2690</t>
  </si>
  <si>
    <t>Subhashis  Das</t>
  </si>
  <si>
    <t>CTM-2691</t>
  </si>
  <si>
    <t>Srinivasa  T N</t>
  </si>
  <si>
    <t>CTM-2692</t>
  </si>
  <si>
    <t>Mrinmoy  Maiti</t>
  </si>
  <si>
    <t>CTM-2694</t>
  </si>
  <si>
    <t>Prabhu  M C</t>
  </si>
  <si>
    <t>CTM-2696</t>
  </si>
  <si>
    <t>Chetan Kumar V M</t>
  </si>
  <si>
    <t>Medical Officer</t>
  </si>
  <si>
    <t>CTM-2699</t>
  </si>
  <si>
    <t>Bharath  .</t>
  </si>
  <si>
    <t>CTM-2702</t>
  </si>
  <si>
    <t>Dhruba  Jyoti Banerjee</t>
  </si>
  <si>
    <t>CTM-2705</t>
  </si>
  <si>
    <t>Vijay  S S</t>
  </si>
  <si>
    <t>CTM-2707</t>
  </si>
  <si>
    <t>Ramakrishna  Haragopal P</t>
  </si>
  <si>
    <t>Chief Finance Officer</t>
  </si>
  <si>
    <t>CTM-2708</t>
  </si>
  <si>
    <t>Dipak Kumar Mishra</t>
  </si>
  <si>
    <t>CTM-2715</t>
  </si>
  <si>
    <t>Alaguraja  T</t>
  </si>
  <si>
    <t>CTM-2718</t>
  </si>
  <si>
    <t>Mohd  Farook</t>
  </si>
  <si>
    <t>CTM-2723</t>
  </si>
  <si>
    <t>Bibek  Pandit</t>
  </si>
  <si>
    <t>CTM-2729</t>
  </si>
  <si>
    <t>Asit Baran Baliar Singh</t>
  </si>
  <si>
    <t>CTM-2731</t>
  </si>
  <si>
    <t>Pulak Roy Choudhuri</t>
  </si>
  <si>
    <t>CTM-2733</t>
  </si>
  <si>
    <t>Karunava  Guha</t>
  </si>
  <si>
    <t>CTM-2743</t>
  </si>
  <si>
    <t>Rajesh Kumar Singh</t>
  </si>
  <si>
    <t>CTM-2744</t>
  </si>
  <si>
    <t>Sukumar  Kini</t>
  </si>
  <si>
    <t>Junior Assistant Camp Boss</t>
  </si>
  <si>
    <t>CTM-2745</t>
  </si>
  <si>
    <t>Meenaketan  Sahoo</t>
  </si>
  <si>
    <t>CTM-2746</t>
  </si>
  <si>
    <t>Rajendra Shetty B</t>
  </si>
  <si>
    <t>CTM-2747</t>
  </si>
  <si>
    <t>Chandrahasa  Shettigar</t>
  </si>
  <si>
    <t>Mechanic</t>
  </si>
  <si>
    <t>CTM-2748</t>
  </si>
  <si>
    <t>Mohd  Mustafa</t>
  </si>
  <si>
    <t>Junior Assistant Stores</t>
  </si>
  <si>
    <t>CTM-2749</t>
  </si>
  <si>
    <t>Kailas  H</t>
  </si>
  <si>
    <t>CTM-2751</t>
  </si>
  <si>
    <t>Umapathy  J M.</t>
  </si>
  <si>
    <t>Secretary</t>
  </si>
  <si>
    <t>CTM-2760</t>
  </si>
  <si>
    <t>Prem Kumar R</t>
  </si>
  <si>
    <t>CTM-2763</t>
  </si>
  <si>
    <t>Perumal  L</t>
  </si>
  <si>
    <t>CTM-2764</t>
  </si>
  <si>
    <t>Pankaj  Bhowmick</t>
  </si>
  <si>
    <t>CTM-2771</t>
  </si>
  <si>
    <t>Sunil  Kumar R</t>
  </si>
  <si>
    <t>Vice President (Projects)</t>
  </si>
  <si>
    <t>CTM-2772</t>
  </si>
  <si>
    <t>Avijit  Maity</t>
  </si>
  <si>
    <t>CTM-2773</t>
  </si>
  <si>
    <t>Sanjay  Kumar Kar</t>
  </si>
  <si>
    <t>CTM-2775</t>
  </si>
  <si>
    <t>Lohith  Kumar</t>
  </si>
  <si>
    <t>CTM-2776</t>
  </si>
  <si>
    <t>Answar  Ali Mondal</t>
  </si>
  <si>
    <t>CTM-2779</t>
  </si>
  <si>
    <t>Ranganath  Hebbar</t>
  </si>
  <si>
    <t>CTM-2780</t>
  </si>
  <si>
    <t>Manoj  Kumar K P</t>
  </si>
  <si>
    <t>CTM-2781</t>
  </si>
  <si>
    <t>Jayaram  C</t>
  </si>
  <si>
    <t>CTM-2783</t>
  </si>
  <si>
    <t>Ghanshyam  .</t>
  </si>
  <si>
    <t>CTM-2786</t>
  </si>
  <si>
    <t>Nadeem  Afthar</t>
  </si>
  <si>
    <t>CTM-2789</t>
  </si>
  <si>
    <t>Samuel  P T</t>
  </si>
  <si>
    <t>CTM-2791</t>
  </si>
  <si>
    <t>Deepak  P</t>
  </si>
  <si>
    <t>CTM-2793</t>
  </si>
  <si>
    <t>David  Isaac</t>
  </si>
  <si>
    <t>Assistant General Manager (Legal &amp; PR)</t>
  </si>
  <si>
    <t>CTM-2795</t>
  </si>
  <si>
    <t>Sanjay  Sarkar</t>
  </si>
  <si>
    <t>CTM-2796</t>
  </si>
  <si>
    <t>Pranab  Ghosh</t>
  </si>
  <si>
    <t>Foreman (Barbending)</t>
  </si>
  <si>
    <t>CTM-2797</t>
  </si>
  <si>
    <t>Anthony Mary Jesweena</t>
  </si>
  <si>
    <t>CTM-2806</t>
  </si>
  <si>
    <t>Jay Shankar Yadav</t>
  </si>
  <si>
    <t>Executive (P&amp;M)</t>
  </si>
  <si>
    <t>CTM-2808</t>
  </si>
  <si>
    <t>Arijit  Chowdhury</t>
  </si>
  <si>
    <t>CTM-2811</t>
  </si>
  <si>
    <t>Joydeep  Datta</t>
  </si>
  <si>
    <t>CTM-2812</t>
  </si>
  <si>
    <t>Mohammed  Nellikar</t>
  </si>
  <si>
    <t>CTM-2816</t>
  </si>
  <si>
    <t>Suman Kumar Jha</t>
  </si>
  <si>
    <t>CTM-2823</t>
  </si>
  <si>
    <t>Mithu  Saha</t>
  </si>
  <si>
    <t>CTM-2824</t>
  </si>
  <si>
    <t>Some Nath Ghosh</t>
  </si>
  <si>
    <t>CTM-2825</t>
  </si>
  <si>
    <t>Ansu Pratim De</t>
  </si>
  <si>
    <t>Senior Executive (Planning)</t>
  </si>
  <si>
    <t>CTM-2826</t>
  </si>
  <si>
    <t>Kiran Kumar Shetty</t>
  </si>
  <si>
    <t>CTM-2827</t>
  </si>
  <si>
    <t>Dinesh  Kulal</t>
  </si>
  <si>
    <t>CTM-2835</t>
  </si>
  <si>
    <t>Basavaraj M B</t>
  </si>
  <si>
    <t>CTM-2841</t>
  </si>
  <si>
    <t>Debdipta  Adhikari</t>
  </si>
  <si>
    <t>CTM-2842</t>
  </si>
  <si>
    <t>Debasis  Kayal</t>
  </si>
  <si>
    <t>CTM-2847</t>
  </si>
  <si>
    <t>Pragash  S</t>
  </si>
  <si>
    <t>Deputy General Manager (Projects)</t>
  </si>
  <si>
    <t>CTM-2848</t>
  </si>
  <si>
    <t>Swapna  B S</t>
  </si>
  <si>
    <t>CTM-2849</t>
  </si>
  <si>
    <t>Rajendra Singh Chauhan</t>
  </si>
  <si>
    <t>CTM-2853</t>
  </si>
  <si>
    <t>Zulfiquar  Ahmad</t>
  </si>
  <si>
    <t>CTM-2857</t>
  </si>
  <si>
    <t>Santanu  Bhowmik</t>
  </si>
  <si>
    <t>Engineer (Planning)</t>
  </si>
  <si>
    <t>CTM-2860</t>
  </si>
  <si>
    <t>Anarul  Haque</t>
  </si>
  <si>
    <t>CTM-2862</t>
  </si>
  <si>
    <t>Mohan Lal Ghritlahare</t>
  </si>
  <si>
    <t>CTM-2868</t>
  </si>
  <si>
    <t>Sukesh  K S</t>
  </si>
  <si>
    <t>CTM-2869</t>
  </si>
  <si>
    <t>Surojit  Ghosh</t>
  </si>
  <si>
    <t>CTM-2870</t>
  </si>
  <si>
    <t>Satirtha  Roy</t>
  </si>
  <si>
    <t>CTM-2875</t>
  </si>
  <si>
    <t>Praveen  Chauhan</t>
  </si>
  <si>
    <t>Junior Secretary</t>
  </si>
  <si>
    <t>CTM-2876</t>
  </si>
  <si>
    <t>Umesh G B</t>
  </si>
  <si>
    <t>CTM-2883</t>
  </si>
  <si>
    <t>Bhaskar  M</t>
  </si>
  <si>
    <t>CTM-2884</t>
  </si>
  <si>
    <t>Balakrishna  K</t>
  </si>
  <si>
    <t>CTM-2886</t>
  </si>
  <si>
    <t>Dombaya  B</t>
  </si>
  <si>
    <t>CTM-2887</t>
  </si>
  <si>
    <t>Sathisha  Poojari</t>
  </si>
  <si>
    <t>CTM-2889</t>
  </si>
  <si>
    <t>Satyender  Kumar</t>
  </si>
  <si>
    <t>CTM-2891</t>
  </si>
  <si>
    <t>Rajib Datta Chowdhury</t>
  </si>
  <si>
    <t>CTM-2892</t>
  </si>
  <si>
    <t>Phool Kumar Biswas</t>
  </si>
  <si>
    <t>CTM-2894</t>
  </si>
  <si>
    <t>Ajoy Kumar Dey</t>
  </si>
  <si>
    <t>CTM-2895</t>
  </si>
  <si>
    <t>Surajit  Sen</t>
  </si>
  <si>
    <t>CTM-2896</t>
  </si>
  <si>
    <t>Dinesh  Sengupta</t>
  </si>
  <si>
    <t>CTM-2897</t>
  </si>
  <si>
    <t>Chandan  Pramanik</t>
  </si>
  <si>
    <t>CTM-2898</t>
  </si>
  <si>
    <t>Kanchan  Sahoo</t>
  </si>
  <si>
    <t>CTM-2899</t>
  </si>
  <si>
    <t>Sanjay  Banerjee</t>
  </si>
  <si>
    <t>CTM-2900</t>
  </si>
  <si>
    <t>Manoj Kumar Kar</t>
  </si>
  <si>
    <t>Assistant (Systems)</t>
  </si>
  <si>
    <t>CTM-2901</t>
  </si>
  <si>
    <t>Mithilesh  Sharma</t>
  </si>
  <si>
    <t>CTM-2902</t>
  </si>
  <si>
    <t>Provash  Ghosh</t>
  </si>
  <si>
    <t>CTM-2903</t>
  </si>
  <si>
    <t>Subhrajit  Halder</t>
  </si>
  <si>
    <t>CTM-2906</t>
  </si>
  <si>
    <t>Soumen  Bhowmick</t>
  </si>
  <si>
    <t>Supervisor (Quantity Surveyor)</t>
  </si>
  <si>
    <t>CTM-2907</t>
  </si>
  <si>
    <t>Chinmoy  Chakrabarty</t>
  </si>
  <si>
    <t>CTM-2909</t>
  </si>
  <si>
    <t>Ranajit  Adhikari</t>
  </si>
  <si>
    <t>CTM-2911</t>
  </si>
  <si>
    <t>Shiva Kumar D K</t>
  </si>
  <si>
    <t>CTM-2912</t>
  </si>
  <si>
    <t>Sudheer Kumar K A</t>
  </si>
  <si>
    <t>CTM-2913</t>
  </si>
  <si>
    <t>Vani Mohare Raja Rao</t>
  </si>
  <si>
    <t>Executive (Internal Audit)</t>
  </si>
  <si>
    <t>CTM-2915</t>
  </si>
  <si>
    <t>Kanchan  Bhattacharya</t>
  </si>
  <si>
    <t>CTM-2917</t>
  </si>
  <si>
    <t>Subhajit  Nath</t>
  </si>
  <si>
    <t>CTM-2919</t>
  </si>
  <si>
    <t>Ratan  Basak</t>
  </si>
  <si>
    <t>CTM-2920</t>
  </si>
  <si>
    <t>Praphul  Kumar</t>
  </si>
  <si>
    <t>CTM-2921</t>
  </si>
  <si>
    <t>Ashwin  A</t>
  </si>
  <si>
    <t>CTM-2923</t>
  </si>
  <si>
    <t>Ashok  Kumar</t>
  </si>
  <si>
    <t>CTM-2924</t>
  </si>
  <si>
    <t>Sanjay  Ghosh</t>
  </si>
  <si>
    <t>CTM-2926</t>
  </si>
  <si>
    <t>Raghuram  P</t>
  </si>
  <si>
    <t>CTM-2929</t>
  </si>
  <si>
    <t>Santosh  Tubachi</t>
  </si>
  <si>
    <t>CTM-2930</t>
  </si>
  <si>
    <t>Rumesh Nath D S</t>
  </si>
  <si>
    <t>Officer (Purchase)</t>
  </si>
  <si>
    <t>CTM-2931</t>
  </si>
  <si>
    <t>Madhan Kumar C</t>
  </si>
  <si>
    <t>CTM-2932</t>
  </si>
  <si>
    <t>Sharath  Kumar</t>
  </si>
  <si>
    <t>CTM-2934</t>
  </si>
  <si>
    <t>Madhusudan Rao J R</t>
  </si>
  <si>
    <t>Senior Manager (F&amp;A)</t>
  </si>
  <si>
    <t>CTM-2935</t>
  </si>
  <si>
    <t>Mohammed  Shabbir</t>
  </si>
  <si>
    <t>CTM-2936</t>
  </si>
  <si>
    <t>Linu T Mathew</t>
  </si>
  <si>
    <t>CTM-2937</t>
  </si>
  <si>
    <t>Mohan Gowda P</t>
  </si>
  <si>
    <t>CTM-2941</t>
  </si>
  <si>
    <t>Sumesh Kumar S C</t>
  </si>
  <si>
    <t>CTM-2943</t>
  </si>
  <si>
    <t>Ramesh  G</t>
  </si>
  <si>
    <t>Senior Engineer (Electrical)</t>
  </si>
  <si>
    <t>CTM-2945</t>
  </si>
  <si>
    <t>Mahesh  S</t>
  </si>
  <si>
    <t>CTM-2947</t>
  </si>
  <si>
    <t>Vinesh  V T</t>
  </si>
  <si>
    <t>CTM-2950</t>
  </si>
  <si>
    <t>Narayana  Moolya</t>
  </si>
  <si>
    <t>CTM-2953</t>
  </si>
  <si>
    <t>Ranjith  K</t>
  </si>
  <si>
    <t>Junior Engineer (Barbending)</t>
  </si>
  <si>
    <t>CTM-2954</t>
  </si>
  <si>
    <t>Shylesh R Nair</t>
  </si>
  <si>
    <t>CTM-2955</t>
  </si>
  <si>
    <t>Gangadhar  Jena</t>
  </si>
  <si>
    <t>CTM-2957</t>
  </si>
  <si>
    <t>Nandeeshwar  G B</t>
  </si>
  <si>
    <t>CTM-2958</t>
  </si>
  <si>
    <t>Nilesh  Padwalkar</t>
  </si>
  <si>
    <t>CTM-2962</t>
  </si>
  <si>
    <t>Vignesh  C</t>
  </si>
  <si>
    <t>CTM-2964</t>
  </si>
  <si>
    <t>Anoop  K T</t>
  </si>
  <si>
    <t>CTM-2965</t>
  </si>
  <si>
    <t>Vidhyanand Y Gaonkar</t>
  </si>
  <si>
    <t>CTM-2968</t>
  </si>
  <si>
    <t>Bhushan Vinayak Tari</t>
  </si>
  <si>
    <t>CTM-2972</t>
  </si>
  <si>
    <t>Abdus A Shaheed</t>
  </si>
  <si>
    <t>CTM-2973</t>
  </si>
  <si>
    <t>Dhirendra R Maurya</t>
  </si>
  <si>
    <t>CTM-2977</t>
  </si>
  <si>
    <t>Jaya Kumar V K A</t>
  </si>
  <si>
    <t>CTM-2978</t>
  </si>
  <si>
    <t>Ere Gowda B P</t>
  </si>
  <si>
    <t>CTM-2979</t>
  </si>
  <si>
    <t>Sunil Kumar V</t>
  </si>
  <si>
    <t>Assistant (Purchase)</t>
  </si>
  <si>
    <t>CTM-2980</t>
  </si>
  <si>
    <t>Manjunath  C</t>
  </si>
  <si>
    <t>CTM-2982</t>
  </si>
  <si>
    <t>Mohan Babu B</t>
  </si>
  <si>
    <t>CTM-2983</t>
  </si>
  <si>
    <t>Rajesh Kumar A</t>
  </si>
  <si>
    <t>CTM-2984</t>
  </si>
  <si>
    <t>Shankar  Ganesh</t>
  </si>
  <si>
    <t>CTM-2986</t>
  </si>
  <si>
    <t>Mahesh P Naik</t>
  </si>
  <si>
    <t>CTM-2989</t>
  </si>
  <si>
    <t>Kaushik  Laha</t>
  </si>
  <si>
    <t>CTM-2990</t>
  </si>
  <si>
    <t>Anchar Ali Mondal</t>
  </si>
  <si>
    <t>CTM-2991</t>
  </si>
  <si>
    <t>Rangesh  R</t>
  </si>
  <si>
    <t>CTM-2992</t>
  </si>
  <si>
    <t>Ramesha  B M</t>
  </si>
  <si>
    <t>CTM-2993</t>
  </si>
  <si>
    <t>Bhabesh Chandra Majhi</t>
  </si>
  <si>
    <t>CTM-2996</t>
  </si>
  <si>
    <t>Ram Prasad Devrani</t>
  </si>
  <si>
    <t>CTM-2997</t>
  </si>
  <si>
    <t>Naveen Chandra Shetty</t>
  </si>
  <si>
    <t>CTM-2999</t>
  </si>
  <si>
    <t>Adinarayana Reddy V</t>
  </si>
  <si>
    <t>CTM-3000</t>
  </si>
  <si>
    <t>Anila  Uttaman</t>
  </si>
  <si>
    <t>CTM-3002</t>
  </si>
  <si>
    <t>Mohammed Rafiq Natty</t>
  </si>
  <si>
    <t>CTM-3005</t>
  </si>
  <si>
    <t>Probir  Mullick</t>
  </si>
  <si>
    <t>Assistant (HR&amp;A)</t>
  </si>
  <si>
    <t>CTM-3007</t>
  </si>
  <si>
    <t>Joseph P Cherian</t>
  </si>
  <si>
    <t>Officer (Security)</t>
  </si>
  <si>
    <t>CTM-3009</t>
  </si>
  <si>
    <t>Murgesan  R</t>
  </si>
  <si>
    <t>CTM-3012</t>
  </si>
  <si>
    <t>Yuvaraj  T</t>
  </si>
  <si>
    <t>CTM-3014</t>
  </si>
  <si>
    <t>Gajendra  Murthy G</t>
  </si>
  <si>
    <t>CTM-3015</t>
  </si>
  <si>
    <t>Nishith  Kumar</t>
  </si>
  <si>
    <t>CTM-3016</t>
  </si>
  <si>
    <t>Praveena  A</t>
  </si>
  <si>
    <t>CTM-3020</t>
  </si>
  <si>
    <t>Guru  T K</t>
  </si>
  <si>
    <t>CTM-3021</t>
  </si>
  <si>
    <t>Nandita  Roy</t>
  </si>
  <si>
    <t>Junior Officer (Front Office)</t>
  </si>
  <si>
    <t>CTM-3025</t>
  </si>
  <si>
    <t>Sumanta  Dutta</t>
  </si>
  <si>
    <t>CTM-3028</t>
  </si>
  <si>
    <t>Ashok Kumar B Kabade</t>
  </si>
  <si>
    <t>CTM-3031</t>
  </si>
  <si>
    <t>Paramasivam  S</t>
  </si>
  <si>
    <t>CTM-3033</t>
  </si>
  <si>
    <t>Rajashekhar M Naikodi</t>
  </si>
  <si>
    <t>CTM-3034</t>
  </si>
  <si>
    <t>Rajender  Singh</t>
  </si>
  <si>
    <t>CTM-3036</t>
  </si>
  <si>
    <t>Soubhik  Bhattacharjee</t>
  </si>
  <si>
    <t>CTM-3037</t>
  </si>
  <si>
    <t>Sushant Kumar Jena</t>
  </si>
  <si>
    <t>CTM-3039</t>
  </si>
  <si>
    <t>Ratan  Hembram</t>
  </si>
  <si>
    <t>CTM-3041</t>
  </si>
  <si>
    <t>Surya Narayana Patra</t>
  </si>
  <si>
    <t>CTM-3042</t>
  </si>
  <si>
    <t>Avijit  Dhibar</t>
  </si>
  <si>
    <t>CTM-3043</t>
  </si>
  <si>
    <t>Rajkishore  Routray</t>
  </si>
  <si>
    <t>Senior Executive (HR&amp;A)</t>
  </si>
  <si>
    <t>CTM-3044</t>
  </si>
  <si>
    <t>Sanjay  Singhal</t>
  </si>
  <si>
    <t>CTM-3046</t>
  </si>
  <si>
    <t>Shabarish  Shetty</t>
  </si>
  <si>
    <t>CTM-3050</t>
  </si>
  <si>
    <t>Tarini Prasad Parida</t>
  </si>
  <si>
    <t>CTM-3051</t>
  </si>
  <si>
    <t>Biprajit  Banerjee</t>
  </si>
  <si>
    <t>CTM-3053</t>
  </si>
  <si>
    <t>Maulick  K K</t>
  </si>
  <si>
    <t>Deputy General Manager (Logistics)</t>
  </si>
  <si>
    <t>CTM-3054</t>
  </si>
  <si>
    <t>Shyama Pada Dey</t>
  </si>
  <si>
    <t>CTM-3055</t>
  </si>
  <si>
    <t>Manoj Kumar Sahu</t>
  </si>
  <si>
    <t>CTM-3057</t>
  </si>
  <si>
    <t>Sekhar  Bhattacharya</t>
  </si>
  <si>
    <t>CTM-3060</t>
  </si>
  <si>
    <t>Khageswar  Mohanta</t>
  </si>
  <si>
    <t>CTM-3061</t>
  </si>
  <si>
    <t>Rahulesh  Gupta</t>
  </si>
  <si>
    <t>CTM-3063</t>
  </si>
  <si>
    <t>Gujari  Subramanyam</t>
  </si>
  <si>
    <t>CTM-3066</t>
  </si>
  <si>
    <t>Shiju  John</t>
  </si>
  <si>
    <t>CTM-3068</t>
  </si>
  <si>
    <t>Anish  T</t>
  </si>
  <si>
    <t>CTM-3070</t>
  </si>
  <si>
    <t>Alekha Prasad Parida</t>
  </si>
  <si>
    <t>CTM-3074</t>
  </si>
  <si>
    <t>Atish  Kumar</t>
  </si>
  <si>
    <t>CTM-3075</t>
  </si>
  <si>
    <t>Janaki Ramana Rao</t>
  </si>
  <si>
    <t>CTM-3078</t>
  </si>
  <si>
    <t>Sankha  Chakraborty</t>
  </si>
  <si>
    <t>CTM-3084</t>
  </si>
  <si>
    <t>Gopalkrishna M Naik</t>
  </si>
  <si>
    <t>CTM-3086</t>
  </si>
  <si>
    <t>Rajesh  P J</t>
  </si>
  <si>
    <t>CTM-3087</t>
  </si>
  <si>
    <t>Hiregange  R G</t>
  </si>
  <si>
    <t>CTM-3089</t>
  </si>
  <si>
    <t>Biswajit  Ghosh</t>
  </si>
  <si>
    <t>CTM-3090</t>
  </si>
  <si>
    <t>Basappa  S M</t>
  </si>
  <si>
    <t>CTM-3091</t>
  </si>
  <si>
    <t>Raja  V A</t>
  </si>
  <si>
    <t>CTM-3092</t>
  </si>
  <si>
    <t>Sowmya  S</t>
  </si>
  <si>
    <t>CTM-3093</t>
  </si>
  <si>
    <t>Raghunath  Sahu</t>
  </si>
  <si>
    <t>CTM-3095</t>
  </si>
  <si>
    <t>Gopal Chandra Barik</t>
  </si>
  <si>
    <t>CTM-3096</t>
  </si>
  <si>
    <t>Vinayak M Pai</t>
  </si>
  <si>
    <t>CTM-3097</t>
  </si>
  <si>
    <t>Bipin Bihari Dalei</t>
  </si>
  <si>
    <t>Supervisor (QA/QC)</t>
  </si>
  <si>
    <t>CTM-3098</t>
  </si>
  <si>
    <t>Gibson A V</t>
  </si>
  <si>
    <t>CTM-3099</t>
  </si>
  <si>
    <t>Tapan  Jana</t>
  </si>
  <si>
    <t>Executive (Quality)</t>
  </si>
  <si>
    <t>CTM-3100</t>
  </si>
  <si>
    <t>Gopal  Mandal</t>
  </si>
  <si>
    <t>CTM-3101</t>
  </si>
  <si>
    <t>Shiv Kumar Singh</t>
  </si>
  <si>
    <t>CTM-3102</t>
  </si>
  <si>
    <t>Kotureshwara M M</t>
  </si>
  <si>
    <t>CTM-3103</t>
  </si>
  <si>
    <t>Shiva Kumar B N</t>
  </si>
  <si>
    <t>Junior Engineer (Planning)</t>
  </si>
  <si>
    <t>CTM-3105</t>
  </si>
  <si>
    <t>Nilakantha  Mohanta</t>
  </si>
  <si>
    <t>CTM-3106</t>
  </si>
  <si>
    <t>Sharmistha  Mallick</t>
  </si>
  <si>
    <t>CTM-3107</t>
  </si>
  <si>
    <t>Shankar  Dutta</t>
  </si>
  <si>
    <t>CTM-3108</t>
  </si>
  <si>
    <t>Sukdeb  Mondal</t>
  </si>
  <si>
    <t>CTM-3109</t>
  </si>
  <si>
    <t>Anit  Som</t>
  </si>
  <si>
    <t>CTM-3110</t>
  </si>
  <si>
    <t>Sanjoy  Sarkar</t>
  </si>
  <si>
    <t>CTM-3111</t>
  </si>
  <si>
    <t>Animesh  Chatterjee</t>
  </si>
  <si>
    <t>CTM-3113</t>
  </si>
  <si>
    <t>Krithika  Reddy</t>
  </si>
  <si>
    <t>CTM-3114</t>
  </si>
  <si>
    <t>Syed Ahmed Hussaini</t>
  </si>
  <si>
    <t>CTM-3115</t>
  </si>
  <si>
    <t>Manoj Kumar Ojha</t>
  </si>
  <si>
    <t>Supervisor (Plumbing)</t>
  </si>
  <si>
    <t>CTM-3117</t>
  </si>
  <si>
    <t>Balakrishnan  K</t>
  </si>
  <si>
    <t>CTM-3118</t>
  </si>
  <si>
    <t>Jayaranulu  K</t>
  </si>
  <si>
    <t>Chargehand (Surveyor)</t>
  </si>
  <si>
    <t>CTM-3120</t>
  </si>
  <si>
    <t>Kailash Chandra Barik</t>
  </si>
  <si>
    <t>CTM-3121</t>
  </si>
  <si>
    <t>Sekar  S</t>
  </si>
  <si>
    <t>CTM-3122</t>
  </si>
  <si>
    <t>Jayappa  M C</t>
  </si>
  <si>
    <t>CTM-3124</t>
  </si>
  <si>
    <t>Sheetal Yallappa Rajannavar</t>
  </si>
  <si>
    <t>CTM-3125</t>
  </si>
  <si>
    <t>Sharanabasappa  Gouda</t>
  </si>
  <si>
    <t>CTM-3128</t>
  </si>
  <si>
    <t>Haridas  Krishnan</t>
  </si>
  <si>
    <t>CTM-3129</t>
  </si>
  <si>
    <t>Vikaram N Patankar</t>
  </si>
  <si>
    <t>CTM-3130</t>
  </si>
  <si>
    <t>Vinayak  Barki</t>
  </si>
  <si>
    <t>CTM-3132</t>
  </si>
  <si>
    <t>Rohit Kumar Srivastava</t>
  </si>
  <si>
    <t>CTM-3133</t>
  </si>
  <si>
    <t>Shishupal  Singh</t>
  </si>
  <si>
    <t>CTM-3134</t>
  </si>
  <si>
    <t>Prabhakar  Sahu</t>
  </si>
  <si>
    <t>CTM-3135</t>
  </si>
  <si>
    <t>Jayanta  Chakraborty</t>
  </si>
  <si>
    <t>CTM-3136</t>
  </si>
  <si>
    <t>Deep Sankar Sengupta</t>
  </si>
  <si>
    <t>CTM-3137</t>
  </si>
  <si>
    <t>Jayanta  Halder</t>
  </si>
  <si>
    <t>CTM-3138</t>
  </si>
  <si>
    <t>Shamanth  T</t>
  </si>
  <si>
    <t>Engineer (Plumbing)</t>
  </si>
  <si>
    <t>CTM-3140</t>
  </si>
  <si>
    <t>Nagaraj S Ganiger</t>
  </si>
  <si>
    <t>CTM-3141</t>
  </si>
  <si>
    <t>Syed  Muneeb</t>
  </si>
  <si>
    <t>CTM-3142</t>
  </si>
  <si>
    <t>Muniyappan  P</t>
  </si>
  <si>
    <t>CTM-3143</t>
  </si>
  <si>
    <t>Arumugam  P</t>
  </si>
  <si>
    <t>CTM-3144</t>
  </si>
  <si>
    <t>Gokul  K</t>
  </si>
  <si>
    <t>CTM-3145</t>
  </si>
  <si>
    <t>Pravash  Patra</t>
  </si>
  <si>
    <t>CTM-3146</t>
  </si>
  <si>
    <t>Sanjoy  Bhattacharya</t>
  </si>
  <si>
    <t>CTM-3147</t>
  </si>
  <si>
    <t>Bikash Chandra Maity</t>
  </si>
  <si>
    <t>Kamal  Bag</t>
  </si>
  <si>
    <t>CTM-3150</t>
  </si>
  <si>
    <t>Deepika  M</t>
  </si>
  <si>
    <t>CTM-3151</t>
  </si>
  <si>
    <t>Kalyanasis  Sen</t>
  </si>
  <si>
    <t>CTM-3152</t>
  </si>
  <si>
    <t>Rajgopal  B</t>
  </si>
  <si>
    <t>CTM-3154</t>
  </si>
  <si>
    <t>Prashant U Raikar</t>
  </si>
  <si>
    <t>CTM-3155</t>
  </si>
  <si>
    <t>Shrinath  Shet</t>
  </si>
  <si>
    <t>CTM-3156</t>
  </si>
  <si>
    <t>Rameesh</t>
  </si>
  <si>
    <t>CTM-3157</t>
  </si>
  <si>
    <t>Sunil  P V</t>
  </si>
  <si>
    <t>CTM-3158</t>
  </si>
  <si>
    <t>Shankar  M</t>
  </si>
  <si>
    <t>CTM-3159</t>
  </si>
  <si>
    <t>Mahendran  R</t>
  </si>
  <si>
    <t>CTM-3160</t>
  </si>
  <si>
    <t>Arun Kumar K</t>
  </si>
  <si>
    <t>CTM-3162</t>
  </si>
  <si>
    <t>Akhtar  Hussain</t>
  </si>
  <si>
    <t>CTM-3163</t>
  </si>
  <si>
    <t>Azad  Vishwakarma</t>
  </si>
  <si>
    <t>Foreman (Concreting)</t>
  </si>
  <si>
    <t>CTM-3164</t>
  </si>
  <si>
    <t>Prashanth  Raj Shetty</t>
  </si>
  <si>
    <t>CTM-3165</t>
  </si>
  <si>
    <t>Sibendu  Dutta</t>
  </si>
  <si>
    <t>CTM-3166</t>
  </si>
  <si>
    <t>Mukul  Mondal</t>
  </si>
  <si>
    <t>CTM-3167</t>
  </si>
  <si>
    <t>Sopesh Nath G</t>
  </si>
  <si>
    <t>Manager (HR&amp;A)</t>
  </si>
  <si>
    <t>CTM-3168</t>
  </si>
  <si>
    <t>Mohammad  Naveedulla</t>
  </si>
  <si>
    <t>CTM-3169</t>
  </si>
  <si>
    <t>Jayanta  Roy</t>
  </si>
  <si>
    <t>CTM-3170</t>
  </si>
  <si>
    <t>Rakesh  Acharya</t>
  </si>
  <si>
    <t>CTM-3172</t>
  </si>
  <si>
    <t>Surendra  Kumar Pahan</t>
  </si>
  <si>
    <t>CTM-3174</t>
  </si>
  <si>
    <t>Vinayak S Naik</t>
  </si>
  <si>
    <t>CTM-3175</t>
  </si>
  <si>
    <t>Ravi  Kumar</t>
  </si>
  <si>
    <t>CTM-3176</t>
  </si>
  <si>
    <t>Veeresha  Shetter</t>
  </si>
  <si>
    <t>CTM-3177</t>
  </si>
  <si>
    <t>Jeyagurubalan  M</t>
  </si>
  <si>
    <t>Senior Executive (Electrical)</t>
  </si>
  <si>
    <t>CTM-3178</t>
  </si>
  <si>
    <t>Himaraju  K G</t>
  </si>
  <si>
    <t>CTM-3179</t>
  </si>
  <si>
    <t>Chand  Hussain</t>
  </si>
  <si>
    <t>CTM-3180</t>
  </si>
  <si>
    <t>Raghavendra</t>
  </si>
  <si>
    <t>Site Engineer (Finishing)</t>
  </si>
  <si>
    <t>CTM-3181</t>
  </si>
  <si>
    <t>Pradheep  G</t>
  </si>
  <si>
    <t>CTM-3182</t>
  </si>
  <si>
    <t>Sandeep  Kallappa</t>
  </si>
  <si>
    <t>Junior Engineer (Fabrication)</t>
  </si>
  <si>
    <t>CTM-3184</t>
  </si>
  <si>
    <t>Tejvir  Singh</t>
  </si>
  <si>
    <t>CTM-3185</t>
  </si>
  <si>
    <t>Sandeep  Rawat</t>
  </si>
  <si>
    <t>CTM-3186</t>
  </si>
  <si>
    <t>Farhat  Abbas</t>
  </si>
  <si>
    <t>CTM-3188</t>
  </si>
  <si>
    <t>Gamshed  B</t>
  </si>
  <si>
    <t>CTM-3191</t>
  </si>
  <si>
    <t>Manjunath  Gd</t>
  </si>
  <si>
    <t>CTM-3192</t>
  </si>
  <si>
    <t>Rajesh  P R</t>
  </si>
  <si>
    <t>CTM-3193</t>
  </si>
  <si>
    <t>Hemanth  Kumar</t>
  </si>
  <si>
    <t>CTM-3194</t>
  </si>
  <si>
    <t>Saritha  M</t>
  </si>
  <si>
    <t>CTM-3195</t>
  </si>
  <si>
    <t>Kannan  K</t>
  </si>
  <si>
    <t>CTM-3196</t>
  </si>
  <si>
    <t>Siva  Kumar A</t>
  </si>
  <si>
    <t>CTM-3197</t>
  </si>
  <si>
    <t>Ripan Hira</t>
  </si>
  <si>
    <t>CTM-3198</t>
  </si>
  <si>
    <t>Sijo N G</t>
  </si>
  <si>
    <t>CTM-3199</t>
  </si>
  <si>
    <t>Sharan Kumar</t>
  </si>
  <si>
    <t>Supplier Code</t>
  </si>
  <si>
    <t>Invoice No</t>
  </si>
  <si>
    <t>Amount</t>
  </si>
  <si>
    <t>Supplier Name</t>
  </si>
  <si>
    <t>ABVFE897</t>
  </si>
  <si>
    <t>AUH Export Pvt Ltd</t>
  </si>
  <si>
    <t>ABVFE898</t>
  </si>
  <si>
    <t>JED Export Pvt Ltd</t>
  </si>
  <si>
    <t>ABVFE899</t>
  </si>
  <si>
    <t>MED Export Pvt Ltd</t>
  </si>
  <si>
    <t>ABVFE900</t>
  </si>
  <si>
    <t>DMM Export Pvt Ltd</t>
  </si>
  <si>
    <t>ABVFE901</t>
  </si>
  <si>
    <t>DXB Export Pvt Ltd</t>
  </si>
  <si>
    <t>ABVFE902</t>
  </si>
  <si>
    <t>ABVFE903</t>
  </si>
  <si>
    <t>ABVFE904</t>
  </si>
  <si>
    <t>ABVFE905</t>
  </si>
  <si>
    <t>Vendor Name</t>
  </si>
  <si>
    <t>Sum of Amount</t>
  </si>
  <si>
    <t>AMT 2019</t>
  </si>
  <si>
    <t>AMT 2003</t>
  </si>
  <si>
    <t>AMT 2013</t>
  </si>
  <si>
    <t>AMT 2010</t>
  </si>
  <si>
    <t>AMT 2016</t>
  </si>
  <si>
    <t>DOJ</t>
  </si>
  <si>
    <t>Salary</t>
  </si>
  <si>
    <t>Bengaluru</t>
  </si>
  <si>
    <t>Manesar</t>
  </si>
  <si>
    <t>Kolkata</t>
  </si>
  <si>
    <t>Bhubaneshwar</t>
  </si>
  <si>
    <t>Mangalore</t>
  </si>
  <si>
    <t>Kozhikode</t>
  </si>
  <si>
    <t>Jamshedpur</t>
  </si>
  <si>
    <t>Noida</t>
  </si>
  <si>
    <t>Patna</t>
  </si>
  <si>
    <t>Trivandrum</t>
  </si>
  <si>
    <t>Hyderabad</t>
  </si>
  <si>
    <t>Kannur</t>
  </si>
  <si>
    <t>Mysore</t>
  </si>
  <si>
    <t>Imran Khan</t>
  </si>
  <si>
    <t>Zidan alam</t>
  </si>
  <si>
    <t>&lt; Apply Dropdown for Index Match and also show as "Not Available" for any error by applying logical function</t>
  </si>
  <si>
    <t>&lt;Why these ranges shows Zero Values??
 Please fix it with accurate result</t>
  </si>
  <si>
    <t>Every 200 days how many employees has joined</t>
  </si>
  <si>
    <t>Total Designation count aginst each location under respective state</t>
  </si>
  <si>
    <t>Criteria/Taks</t>
  </si>
  <si>
    <t>Karnataka-EOHS</t>
  </si>
  <si>
    <t>Mangalore - Karnataka</t>
  </si>
  <si>
    <t>Percentage of grand total against salary under respective dept</t>
  </si>
  <si>
    <t>Identify unique values &amp; format with Yellow Color</t>
  </si>
  <si>
    <t>This range should allow only numbers with WARNING alert</t>
  </si>
  <si>
    <t>Restrict this area with any values with STOP alert</t>
  </si>
  <si>
    <t>&lt; Lock the Formula under "Total Column" range</t>
  </si>
  <si>
    <t>AMT-0001</t>
  </si>
  <si>
    <t>AMT-0066</t>
  </si>
  <si>
    <t>AMT-0068</t>
  </si>
  <si>
    <t>AMT-0060</t>
  </si>
  <si>
    <t>AMT-0094</t>
  </si>
  <si>
    <t>AMT-0103</t>
  </si>
  <si>
    <t>AMT-0113</t>
  </si>
  <si>
    <t>Criteria/Task</t>
  </si>
  <si>
    <t>Finally build Interactive dashborad (3 Different Charts) by connecting slicers (Year, Month and Location)</t>
  </si>
  <si>
    <t>70 - 79</t>
  </si>
  <si>
    <t>80 - 100</t>
  </si>
  <si>
    <t>60 - 69</t>
  </si>
  <si>
    <t>40 - 59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</si>
</sst>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0.0%"/>
    <numFmt numFmtId="169" formatCode="_(* #,##0_);_(* \(#,##0\);_(* &quot;-&quot;??_);_(@_)"/>
    <numFmt numFmtId="170" formatCode="_-[$$-409]* #,##0.00_ ;_-[$$-409]* \-#,##0.00\ ;_-[$$-409]* &quot;-&quot;??_ ;_-@_ "/>
    <numFmt numFmtId="171" formatCode="[$-409]d\-mmm;@"/>
    <numFmt numFmtId="172" formatCode="[$-409]d\-mmm\-yy;@"/>
  </numFmts>
  <fonts count="3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F3F76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1"/>
      <scheme val="maj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sz val="11"/>
      <color theme="7" tint="0.39997558519241921"/>
      <name val="Calibri"/>
      <family val="2"/>
      <scheme val="minor"/>
    </font>
    <font>
      <b/>
      <sz val="18"/>
      <color theme="0"/>
      <name val="Calibri Light"/>
      <family val="2"/>
      <scheme val="major"/>
    </font>
    <font>
      <b/>
      <sz val="14"/>
      <color theme="0"/>
      <name val="Calibri"/>
      <family val="2"/>
      <scheme val="minor"/>
    </font>
    <font>
      <b/>
      <sz val="18"/>
      <color theme="4" tint="0.79998168889431442"/>
      <name val="Calibri"/>
      <family val="2"/>
      <scheme val="minor"/>
    </font>
    <font>
      <b/>
      <sz val="11"/>
      <color rgb="FF00B050"/>
      <name val="Arial"/>
      <family val="2"/>
    </font>
    <font>
      <b/>
      <sz val="12"/>
      <color theme="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 Light"/>
      <family val="2"/>
      <scheme val="maj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gray0625">
        <bgColor theme="5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4" fillId="0" borderId="3" applyNumberFormat="0" applyFill="0" applyAlignment="0" applyProtection="0"/>
    <xf numFmtId="0" fontId="1" fillId="5" borderId="0" applyNumberFormat="0" applyBorder="0" applyAlignment="0" applyProtection="0"/>
    <xf numFmtId="0" fontId="9" fillId="0" borderId="0"/>
    <xf numFmtId="172" fontId="9" fillId="0" borderId="0" applyFont="0" applyFill="0" applyBorder="0" applyAlignment="0" applyProtection="0"/>
    <xf numFmtId="0" fontId="14" fillId="9" borderId="0" applyNumberFormat="0" applyBorder="0" applyAlignment="0" applyProtection="0"/>
    <xf numFmtId="0" fontId="9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6" fontId="6" fillId="5" borderId="6" xfId="7" applyNumberFormat="1" applyFont="1" applyBorder="1"/>
    <xf numFmtId="169" fontId="6" fillId="5" borderId="6" xfId="7" applyNumberFormat="1" applyFont="1" applyBorder="1"/>
    <xf numFmtId="0" fontId="7" fillId="0" borderId="7" xfId="6" applyFont="1" applyBorder="1"/>
    <xf numFmtId="166" fontId="7" fillId="0" borderId="4" xfId="6" applyNumberFormat="1" applyFont="1" applyBorder="1"/>
    <xf numFmtId="0" fontId="7" fillId="7" borderId="6" xfId="5" applyFont="1" applyFill="1" applyBorder="1" applyAlignment="1">
      <alignment horizontal="center" vertical="center"/>
    </xf>
    <xf numFmtId="166" fontId="7" fillId="7" borderId="6" xfId="5" applyNumberFormat="1" applyFont="1" applyFill="1" applyBorder="1" applyAlignment="1">
      <alignment horizontal="center" vertical="center" wrapText="1"/>
    </xf>
    <xf numFmtId="0" fontId="6" fillId="0" borderId="6" xfId="0" applyFont="1" applyBorder="1"/>
    <xf numFmtId="166" fontId="6" fillId="0" borderId="6" xfId="2" applyNumberFormat="1" applyFont="1" applyFill="1" applyBorder="1"/>
    <xf numFmtId="166" fontId="6" fillId="0" borderId="6" xfId="2" applyNumberFormat="1" applyFont="1" applyBorder="1"/>
    <xf numFmtId="168" fontId="6" fillId="0" borderId="6" xfId="3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1" fillId="0" borderId="0" xfId="8" applyFont="1"/>
    <xf numFmtId="170" fontId="0" fillId="0" borderId="0" xfId="0" applyNumberFormat="1"/>
    <xf numFmtId="171" fontId="11" fillId="0" borderId="0" xfId="8" applyNumberFormat="1" applyFont="1"/>
    <xf numFmtId="167" fontId="11" fillId="0" borderId="0" xfId="9" applyNumberFormat="1" applyFont="1"/>
    <xf numFmtId="0" fontId="14" fillId="9" borderId="0" xfId="10"/>
    <xf numFmtId="10" fontId="14" fillId="9" borderId="0" xfId="3" applyNumberFormat="1" applyFont="1" applyFill="1"/>
    <xf numFmtId="0" fontId="15" fillId="0" borderId="0" xfId="8" applyFont="1"/>
    <xf numFmtId="0" fontId="9" fillId="0" borderId="0" xfId="8"/>
    <xf numFmtId="0" fontId="17" fillId="0" borderId="6" xfId="8" applyFont="1" applyBorder="1"/>
    <xf numFmtId="172" fontId="11" fillId="0" borderId="0" xfId="8" applyNumberFormat="1" applyFont="1"/>
    <xf numFmtId="0" fontId="19" fillId="0" borderId="0" xfId="8" applyFont="1"/>
    <xf numFmtId="0" fontId="20" fillId="0" borderId="0" xfId="8" applyFont="1"/>
    <xf numFmtId="0" fontId="14" fillId="9" borderId="0" xfId="10" applyAlignment="1">
      <alignment vertical="center"/>
    </xf>
    <xf numFmtId="10" fontId="14" fillId="9" borderId="0" xfId="3" applyNumberFormat="1" applyFont="1" applyFill="1" applyAlignment="1">
      <alignment vertical="center"/>
    </xf>
    <xf numFmtId="0" fontId="23" fillId="6" borderId="6" xfId="8" applyFont="1" applyFill="1" applyBorder="1" applyAlignment="1">
      <alignment horizontal="center"/>
    </xf>
    <xf numFmtId="0" fontId="11" fillId="0" borderId="6" xfId="8" applyFont="1" applyBorder="1"/>
    <xf numFmtId="0" fontId="0" fillId="11" borderId="6" xfId="0" applyFill="1" applyBorder="1"/>
    <xf numFmtId="0" fontId="11" fillId="10" borderId="6" xfId="11" applyFont="1" applyFill="1" applyBorder="1"/>
    <xf numFmtId="0" fontId="11" fillId="0" borderId="6" xfId="11" applyFont="1" applyBorder="1"/>
    <xf numFmtId="170" fontId="11" fillId="0" borderId="6" xfId="11" applyNumberFormat="1" applyFont="1" applyBorder="1"/>
    <xf numFmtId="1" fontId="11" fillId="0" borderId="6" xfId="11" applyNumberFormat="1" applyFont="1" applyBorder="1" applyAlignment="1">
      <alignment horizontal="center"/>
    </xf>
    <xf numFmtId="0" fontId="27" fillId="4" borderId="6" xfId="11" applyFont="1" applyFill="1" applyBorder="1" applyAlignment="1">
      <alignment horizontal="center"/>
    </xf>
    <xf numFmtId="0" fontId="27" fillId="4" borderId="6" xfId="11" applyFont="1" applyFill="1" applyBorder="1" applyAlignment="1">
      <alignment horizontal="center" wrapText="1"/>
    </xf>
    <xf numFmtId="0" fontId="28" fillId="0" borderId="6" xfId="0" applyFont="1" applyBorder="1" applyAlignment="1">
      <alignment horizontal="center"/>
    </xf>
    <xf numFmtId="49" fontId="28" fillId="0" borderId="6" xfId="0" applyNumberFormat="1" applyFont="1" applyBorder="1" applyAlignment="1">
      <alignment horizontal="center"/>
    </xf>
    <xf numFmtId="0" fontId="23" fillId="12" borderId="6" xfId="4" applyFont="1" applyFill="1" applyBorder="1" applyAlignment="1">
      <alignment horizontal="center"/>
    </xf>
    <xf numFmtId="49" fontId="23" fillId="12" borderId="6" xfId="4" applyNumberFormat="1" applyFont="1" applyFill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5" fillId="0" borderId="0" xfId="0" applyFont="1"/>
    <xf numFmtId="170" fontId="0" fillId="0" borderId="6" xfId="0" applyNumberFormat="1" applyBorder="1"/>
    <xf numFmtId="0" fontId="8" fillId="13" borderId="6" xfId="0" applyFont="1" applyFill="1" applyBorder="1" applyAlignment="1">
      <alignment horizontal="center"/>
    </xf>
    <xf numFmtId="170" fontId="8" fillId="13" borderId="6" xfId="0" applyNumberFormat="1" applyFont="1" applyFill="1" applyBorder="1" applyAlignment="1">
      <alignment horizontal="center"/>
    </xf>
    <xf numFmtId="170" fontId="6" fillId="15" borderId="6" xfId="0" applyNumberFormat="1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170" fontId="6" fillId="14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 vertical="center" wrapText="1"/>
    </xf>
    <xf numFmtId="0" fontId="11" fillId="15" borderId="6" xfId="0" quotePrefix="1" applyFont="1" applyFill="1" applyBorder="1" applyAlignment="1">
      <alignment horizontal="center" vertical="center"/>
    </xf>
    <xf numFmtId="0" fontId="31" fillId="16" borderId="6" xfId="0" applyFont="1" applyFill="1" applyBorder="1" applyAlignment="1">
      <alignment horizontal="center" vertical="center" wrapText="1"/>
    </xf>
    <xf numFmtId="0" fontId="32" fillId="17" borderId="6" xfId="0" quotePrefix="1" applyFont="1" applyFill="1" applyBorder="1" applyAlignment="1">
      <alignment horizontal="center" vertical="center"/>
    </xf>
    <xf numFmtId="0" fontId="32" fillId="17" borderId="6" xfId="0" applyFont="1" applyFill="1" applyBorder="1" applyAlignment="1">
      <alignment horizontal="center" vertical="center"/>
    </xf>
    <xf numFmtId="0" fontId="30" fillId="12" borderId="6" xfId="0" applyFont="1" applyFill="1" applyBorder="1"/>
    <xf numFmtId="0" fontId="5" fillId="0" borderId="6" xfId="0" applyFont="1" applyBorder="1"/>
    <xf numFmtId="165" fontId="5" fillId="0" borderId="6" xfId="1" applyFont="1" applyBorder="1"/>
    <xf numFmtId="165" fontId="5" fillId="0" borderId="0" xfId="1" applyFont="1" applyBorder="1"/>
    <xf numFmtId="165" fontId="32" fillId="0" borderId="0" xfId="1" applyFont="1"/>
    <xf numFmtId="165" fontId="0" fillId="0" borderId="0" xfId="1" applyFont="1" applyAlignment="1"/>
    <xf numFmtId="0" fontId="31" fillId="16" borderId="8" xfId="0" applyFont="1" applyFill="1" applyBorder="1" applyAlignment="1">
      <alignment horizontal="center" vertical="center" wrapText="1"/>
    </xf>
    <xf numFmtId="165" fontId="31" fillId="16" borderId="9" xfId="1" applyFont="1" applyFill="1" applyBorder="1" applyAlignment="1">
      <alignment horizontal="center" vertical="center" wrapText="1"/>
    </xf>
    <xf numFmtId="0" fontId="32" fillId="17" borderId="8" xfId="0" applyFont="1" applyFill="1" applyBorder="1" applyAlignment="1">
      <alignment horizontal="center" vertical="center"/>
    </xf>
    <xf numFmtId="14" fontId="32" fillId="17" borderId="8" xfId="0" applyNumberFormat="1" applyFont="1" applyFill="1" applyBorder="1" applyAlignment="1">
      <alignment horizontal="center" vertical="center"/>
    </xf>
    <xf numFmtId="165" fontId="32" fillId="18" borderId="9" xfId="1" applyFont="1" applyFill="1" applyBorder="1"/>
    <xf numFmtId="0" fontId="32" fillId="17" borderId="10" xfId="0" applyFont="1" applyFill="1" applyBorder="1" applyAlignment="1">
      <alignment horizontal="center" vertical="center"/>
    </xf>
    <xf numFmtId="14" fontId="32" fillId="17" borderId="10" xfId="0" applyNumberFormat="1" applyFont="1" applyFill="1" applyBorder="1" applyAlignment="1">
      <alignment horizontal="center" vertical="center"/>
    </xf>
    <xf numFmtId="165" fontId="32" fillId="18" borderId="6" xfId="1" applyFont="1" applyFill="1" applyBorder="1"/>
    <xf numFmtId="0" fontId="34" fillId="0" borderId="6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4" fillId="0" borderId="0" xfId="0" applyFont="1"/>
    <xf numFmtId="0" fontId="10" fillId="0" borderId="6" xfId="8" applyFont="1" applyBorder="1" applyAlignment="1">
      <alignment horizontal="center"/>
    </xf>
    <xf numFmtId="14" fontId="11" fillId="0" borderId="6" xfId="8" applyNumberFormat="1" applyFont="1" applyBorder="1"/>
    <xf numFmtId="170" fontId="12" fillId="0" borderId="6" xfId="0" applyNumberFormat="1" applyFont="1" applyBorder="1"/>
    <xf numFmtId="170" fontId="13" fillId="0" borderId="6" xfId="0" applyNumberFormat="1" applyFont="1" applyBorder="1"/>
    <xf numFmtId="0" fontId="8" fillId="12" borderId="0" xfId="0" applyFont="1" applyFill="1" applyAlignment="1">
      <alignment horizontal="center"/>
    </xf>
    <xf numFmtId="0" fontId="6" fillId="0" borderId="6" xfId="0" applyFont="1" applyBorder="1" applyAlignment="1">
      <alignment horizontal="left" wrapText="1"/>
    </xf>
    <xf numFmtId="0" fontId="23" fillId="12" borderId="1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22" fillId="6" borderId="0" xfId="8" applyFont="1" applyFill="1" applyAlignment="1">
      <alignment horizontal="center" vertical="center"/>
    </xf>
    <xf numFmtId="0" fontId="24" fillId="8" borderId="4" xfId="8" applyFont="1" applyFill="1" applyBorder="1" applyAlignment="1">
      <alignment horizontal="center" vertical="center"/>
    </xf>
    <xf numFmtId="0" fontId="18" fillId="0" borderId="6" xfId="8" applyFont="1" applyBorder="1" applyAlignment="1">
      <alignment horizontal="left"/>
    </xf>
    <xf numFmtId="0" fontId="24" fillId="8" borderId="4" xfId="8" applyFont="1" applyFill="1" applyBorder="1" applyAlignment="1">
      <alignment horizontal="center"/>
    </xf>
    <xf numFmtId="0" fontId="23" fillId="12" borderId="6" xfId="8" applyFont="1" applyFill="1" applyBorder="1" applyAlignment="1">
      <alignment horizontal="center"/>
    </xf>
    <xf numFmtId="0" fontId="16" fillId="10" borderId="6" xfId="8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26" fillId="12" borderId="6" xfId="11" applyFont="1" applyFill="1" applyBorder="1" applyAlignment="1">
      <alignment horizontal="center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6" fillId="12" borderId="13" xfId="11" applyFont="1" applyFill="1" applyBorder="1" applyAlignment="1">
      <alignment horizontal="center"/>
    </xf>
    <xf numFmtId="0" fontId="26" fillId="12" borderId="12" xfId="11" applyFont="1" applyFill="1" applyBorder="1" applyAlignment="1">
      <alignment horizontal="center"/>
    </xf>
    <xf numFmtId="0" fontId="23" fillId="6" borderId="0" xfId="8" applyFont="1" applyFill="1" applyAlignment="1">
      <alignment horizontal="center" vertical="center"/>
    </xf>
    <xf numFmtId="0" fontId="33" fillId="6" borderId="0" xfId="8" applyFont="1" applyFill="1" applyAlignment="1">
      <alignment horizontal="center" vertical="center" wrapText="1"/>
    </xf>
    <xf numFmtId="0" fontId="33" fillId="6" borderId="0" xfId="8" applyFont="1" applyFill="1" applyAlignment="1">
      <alignment horizontal="center" vertical="center"/>
    </xf>
    <xf numFmtId="0" fontId="32" fillId="17" borderId="10" xfId="0" applyFont="1" applyFill="1" applyBorder="1" applyAlignment="1">
      <alignment horizontal="center" vertical="center"/>
    </xf>
    <xf numFmtId="0" fontId="32" fillId="17" borderId="11" xfId="0" applyFont="1" applyFill="1" applyBorder="1" applyAlignment="1">
      <alignment horizontal="center" vertical="center"/>
    </xf>
  </cellXfs>
  <cellStyles count="12">
    <cellStyle name="40% - Accent4" xfId="7" builtinId="43"/>
    <cellStyle name="Comma" xfId="1" builtinId="3"/>
    <cellStyle name="Currency" xfId="2" builtinId="4"/>
    <cellStyle name="Currency 2" xfId="9" xr:uid="{BD6C46D4-75A9-40AB-AE69-D30E7E97AFE3}"/>
    <cellStyle name="Input" xfId="4" builtinId="20"/>
    <cellStyle name="Neutral 2" xfId="10" xr:uid="{3F204925-6F89-44E6-BFB6-29ED2A441104}"/>
    <cellStyle name="Normal" xfId="0" builtinId="0"/>
    <cellStyle name="Normal 2 2" xfId="8" xr:uid="{21C4085F-FA86-46D4-B77D-CA055F7877C1}"/>
    <cellStyle name="Normal 4 2" xfId="11" xr:uid="{F05DD82C-2F76-46B3-8C29-803D3AB69F8E}"/>
    <cellStyle name="Note" xfId="5" builtinId="10"/>
    <cellStyle name="Percent" xfId="3" builtinId="5"/>
    <cellStyle name="Total" xfId="6" builtinId="25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Sheet1-style" pivot="0" count="3" xr9:uid="{A3C4B089-1525-4F32-8458-9E8AD2C180D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53340</xdr:rowOff>
    </xdr:from>
    <xdr:to>
      <xdr:col>3</xdr:col>
      <xdr:colOff>419100</xdr:colOff>
      <xdr:row>6</xdr:row>
      <xdr:rowOff>152400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E745BAAF-5924-4782-8B4B-1AD54545B674}"/>
            </a:ext>
          </a:extLst>
        </xdr:cNvPr>
        <xdr:cNvSpPr/>
      </xdr:nvSpPr>
      <xdr:spPr>
        <a:xfrm>
          <a:off x="2461260" y="929640"/>
          <a:ext cx="266700" cy="2743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236220</xdr:colOff>
      <xdr:row>5</xdr:row>
      <xdr:rowOff>45720</xdr:rowOff>
    </xdr:from>
    <xdr:to>
      <xdr:col>10</xdr:col>
      <xdr:colOff>502920</xdr:colOff>
      <xdr:row>6</xdr:row>
      <xdr:rowOff>144780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8F5441F-4364-44DB-A7DC-9DD81B537D56}"/>
            </a:ext>
          </a:extLst>
        </xdr:cNvPr>
        <xdr:cNvSpPr/>
      </xdr:nvSpPr>
      <xdr:spPr>
        <a:xfrm>
          <a:off x="8587740" y="922020"/>
          <a:ext cx="266700" cy="2743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1150620</xdr:colOff>
      <xdr:row>0</xdr:row>
      <xdr:rowOff>45720</xdr:rowOff>
    </xdr:from>
    <xdr:to>
      <xdr:col>8</xdr:col>
      <xdr:colOff>1066800</xdr:colOff>
      <xdr:row>8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76528ED-185C-4B81-AE5E-29A5BD7AFCAA}"/>
            </a:ext>
          </a:extLst>
        </xdr:cNvPr>
        <xdr:cNvCxnSpPr/>
      </xdr:nvCxnSpPr>
      <xdr:spPr>
        <a:xfrm>
          <a:off x="11163300" y="45720"/>
          <a:ext cx="1082040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7963-E7AD-4E38-93EC-12891C9055C7}">
  <sheetPr>
    <tabColor theme="9" tint="0.79998168889431442"/>
  </sheetPr>
  <dimension ref="A1:J14"/>
  <sheetViews>
    <sheetView showGridLines="0" tabSelected="1" zoomScaleNormal="100" workbookViewId="0">
      <selection activeCell="H21" sqref="H21"/>
    </sheetView>
  </sheetViews>
  <sheetFormatPr defaultRowHeight="13.8" x14ac:dyDescent="0.25"/>
  <cols>
    <col min="1" max="1" width="19.69921875" bestFit="1" customWidth="1"/>
    <col min="2" max="3" width="11.09765625" bestFit="1" customWidth="1"/>
    <col min="4" max="4" width="9.8984375" bestFit="1" customWidth="1"/>
    <col min="5" max="5" width="19" customWidth="1"/>
    <col min="6" max="6" width="14.59765625" bestFit="1" customWidth="1"/>
    <col min="8" max="8" width="21.8984375" customWidth="1"/>
    <col min="9" max="9" width="57.3984375" customWidth="1"/>
    <col min="10" max="11" width="8.796875" customWidth="1"/>
  </cols>
  <sheetData>
    <row r="1" spans="1:10" ht="31.2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H1" s="80" t="s">
        <v>1757</v>
      </c>
      <c r="I1" s="80"/>
      <c r="J1" s="80"/>
    </row>
    <row r="2" spans="1:10" ht="15.6" x14ac:dyDescent="0.3">
      <c r="A2" s="11" t="s">
        <v>6</v>
      </c>
      <c r="B2" s="12">
        <v>740854</v>
      </c>
      <c r="C2" s="12">
        <v>735258</v>
      </c>
      <c r="D2" s="13">
        <f>B2-C2</f>
        <v>5596</v>
      </c>
      <c r="E2" s="14">
        <f>D2/B2</f>
        <v>7.5534450782475358E-3</v>
      </c>
      <c r="F2" s="15">
        <v>22</v>
      </c>
      <c r="H2" s="81" t="s">
        <v>19</v>
      </c>
      <c r="I2" s="81"/>
      <c r="J2" s="5"/>
    </row>
    <row r="3" spans="1:10" ht="15.6" x14ac:dyDescent="0.3">
      <c r="A3" s="11" t="s">
        <v>7</v>
      </c>
      <c r="B3" s="12">
        <v>777555</v>
      </c>
      <c r="C3" s="12">
        <v>777555</v>
      </c>
      <c r="D3" s="13">
        <f t="shared" ref="D3:D13" si="0">B3-C3</f>
        <v>0</v>
      </c>
      <c r="E3" s="14">
        <f t="shared" ref="E3:E13" si="1">D3/B3</f>
        <v>0</v>
      </c>
      <c r="F3" s="15">
        <v>19</v>
      </c>
      <c r="H3" s="79" t="s">
        <v>22</v>
      </c>
      <c r="I3" s="79"/>
      <c r="J3" s="5"/>
    </row>
    <row r="4" spans="1:10" ht="15.6" customHeight="1" x14ac:dyDescent="0.3">
      <c r="A4" s="11" t="s">
        <v>8</v>
      </c>
      <c r="B4" s="12">
        <v>650874</v>
      </c>
      <c r="C4" s="12">
        <v>650544</v>
      </c>
      <c r="D4" s="13">
        <f t="shared" si="0"/>
        <v>330</v>
      </c>
      <c r="E4" s="14">
        <f t="shared" si="1"/>
        <v>5.0701057347505045E-4</v>
      </c>
      <c r="F4" s="15">
        <v>27</v>
      </c>
      <c r="H4" s="79" t="s">
        <v>20</v>
      </c>
      <c r="I4" s="79"/>
      <c r="J4" s="6"/>
    </row>
    <row r="5" spans="1:10" ht="15.6" customHeight="1" x14ac:dyDescent="0.3">
      <c r="A5" s="11" t="s">
        <v>9</v>
      </c>
      <c r="B5" s="12">
        <v>690587</v>
      </c>
      <c r="C5" s="12">
        <v>689258</v>
      </c>
      <c r="D5" s="13">
        <f t="shared" si="0"/>
        <v>1329</v>
      </c>
      <c r="E5" s="14">
        <f t="shared" si="1"/>
        <v>1.9244497796801852E-3</v>
      </c>
      <c r="F5" s="15">
        <v>38</v>
      </c>
      <c r="H5" s="79" t="s">
        <v>21</v>
      </c>
      <c r="I5" s="79"/>
      <c r="J5" s="6"/>
    </row>
    <row r="6" spans="1:10" ht="15.6" x14ac:dyDescent="0.3">
      <c r="A6" s="11" t="s">
        <v>10</v>
      </c>
      <c r="B6" s="12">
        <v>605874</v>
      </c>
      <c r="C6" s="12">
        <v>604999</v>
      </c>
      <c r="D6" s="13">
        <f t="shared" si="0"/>
        <v>875</v>
      </c>
      <c r="E6" s="14">
        <f t="shared" si="1"/>
        <v>1.444194667538135E-3</v>
      </c>
      <c r="F6" s="15">
        <v>27</v>
      </c>
    </row>
    <row r="7" spans="1:10" ht="15.6" x14ac:dyDescent="0.3">
      <c r="A7" s="11" t="s">
        <v>11</v>
      </c>
      <c r="B7" s="12">
        <v>558745</v>
      </c>
      <c r="C7" s="12">
        <v>550874</v>
      </c>
      <c r="D7" s="13">
        <f t="shared" si="0"/>
        <v>7871</v>
      </c>
      <c r="E7" s="14">
        <f t="shared" si="1"/>
        <v>1.4086926952366465E-2</v>
      </c>
      <c r="F7" s="15">
        <v>50</v>
      </c>
    </row>
    <row r="8" spans="1:10" ht="15.6" customHeight="1" x14ac:dyDescent="0.3">
      <c r="A8" s="11" t="s">
        <v>12</v>
      </c>
      <c r="B8" s="12">
        <v>550874</v>
      </c>
      <c r="C8" s="12">
        <v>548741</v>
      </c>
      <c r="D8" s="13">
        <f t="shared" si="0"/>
        <v>2133</v>
      </c>
      <c r="E8" s="14">
        <f t="shared" si="1"/>
        <v>3.8720288123963013E-3</v>
      </c>
      <c r="F8" s="15">
        <v>54</v>
      </c>
    </row>
    <row r="9" spans="1:10" ht="15.6" x14ac:dyDescent="0.3">
      <c r="A9" s="11" t="s">
        <v>13</v>
      </c>
      <c r="B9" s="12">
        <v>777222</v>
      </c>
      <c r="C9" s="12">
        <v>777123</v>
      </c>
      <c r="D9" s="13">
        <f t="shared" si="0"/>
        <v>99</v>
      </c>
      <c r="E9" s="14">
        <f t="shared" si="1"/>
        <v>1.2737673406053868E-4</v>
      </c>
      <c r="F9" s="15">
        <v>25</v>
      </c>
    </row>
    <row r="10" spans="1:10" ht="15.6" customHeight="1" x14ac:dyDescent="0.3">
      <c r="A10" s="11" t="s">
        <v>14</v>
      </c>
      <c r="B10" s="12">
        <v>777444</v>
      </c>
      <c r="C10" s="12">
        <v>777121</v>
      </c>
      <c r="D10" s="13">
        <f t="shared" si="0"/>
        <v>323</v>
      </c>
      <c r="E10" s="14">
        <f t="shared" si="1"/>
        <v>4.1546400769701739E-4</v>
      </c>
      <c r="F10" s="15">
        <v>20</v>
      </c>
    </row>
    <row r="11" spans="1:10" ht="15.6" customHeight="1" x14ac:dyDescent="0.3">
      <c r="A11" s="11" t="s">
        <v>15</v>
      </c>
      <c r="B11" s="12">
        <v>608784</v>
      </c>
      <c r="C11" s="12">
        <v>608552</v>
      </c>
      <c r="D11" s="13">
        <f t="shared" si="0"/>
        <v>232</v>
      </c>
      <c r="E11" s="14">
        <f t="shared" si="1"/>
        <v>3.8108754500775318E-4</v>
      </c>
      <c r="F11" s="15">
        <v>29</v>
      </c>
    </row>
    <row r="12" spans="1:10" ht="15.6" x14ac:dyDescent="0.3">
      <c r="A12" s="11" t="s">
        <v>16</v>
      </c>
      <c r="B12" s="12">
        <v>777000</v>
      </c>
      <c r="C12" s="12">
        <v>777000</v>
      </c>
      <c r="D12" s="13">
        <f t="shared" si="0"/>
        <v>0</v>
      </c>
      <c r="E12" s="14">
        <f t="shared" si="1"/>
        <v>0</v>
      </c>
      <c r="F12" s="15">
        <v>19</v>
      </c>
    </row>
    <row r="13" spans="1:10" ht="15.6" x14ac:dyDescent="0.3">
      <c r="A13" s="11" t="s">
        <v>17</v>
      </c>
      <c r="B13" s="12">
        <v>658224</v>
      </c>
      <c r="C13" s="12">
        <v>658254</v>
      </c>
      <c r="D13" s="13">
        <f t="shared" si="0"/>
        <v>-30</v>
      </c>
      <c r="E13" s="14">
        <f t="shared" si="1"/>
        <v>-4.5577189528184936E-5</v>
      </c>
      <c r="F13" s="15">
        <v>2</v>
      </c>
    </row>
    <row r="14" spans="1:10" ht="16.2" thickBot="1" x14ac:dyDescent="0.35">
      <c r="A14" s="7" t="s">
        <v>18</v>
      </c>
      <c r="B14" s="8">
        <f t="shared" ref="B14:D14" si="2">SUM(B2:B13)</f>
        <v>8174037</v>
      </c>
      <c r="C14" s="8">
        <f t="shared" si="2"/>
        <v>8155279</v>
      </c>
      <c r="D14" s="8">
        <f t="shared" si="2"/>
        <v>18758</v>
      </c>
      <c r="E14" s="3"/>
      <c r="F14" s="4"/>
    </row>
  </sheetData>
  <mergeCells count="5">
    <mergeCell ref="H5:I5"/>
    <mergeCell ref="H1:J1"/>
    <mergeCell ref="H2:I2"/>
    <mergeCell ref="H3:I3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C2E9-CDA3-400F-918D-E63DD48B5D5F}">
  <sheetPr>
    <tabColor theme="9" tint="0.79998168889431442"/>
  </sheetPr>
  <dimension ref="A1:R50"/>
  <sheetViews>
    <sheetView showGridLines="0" workbookViewId="0">
      <selection activeCell="L20" sqref="L20"/>
    </sheetView>
  </sheetViews>
  <sheetFormatPr defaultColWidth="8.19921875" defaultRowHeight="13.8" x14ac:dyDescent="0.3"/>
  <cols>
    <col min="1" max="1" width="12.5" style="26" bestFit="1" customWidth="1"/>
    <col min="2" max="3" width="9.5" style="26" bestFit="1" customWidth="1"/>
    <col min="4" max="4" width="16.19921875" style="26" bestFit="1" customWidth="1"/>
    <col min="5" max="5" width="10" style="26" bestFit="1" customWidth="1"/>
    <col min="6" max="6" width="9.296875" style="26" bestFit="1" customWidth="1"/>
    <col min="7" max="7" width="11" style="26" bestFit="1" customWidth="1"/>
    <col min="8" max="8" width="10" style="26" bestFit="1" customWidth="1"/>
    <col min="9" max="9" width="12" style="26" bestFit="1" customWidth="1"/>
    <col min="10" max="10" width="7.59765625" style="23" customWidth="1"/>
    <col min="11" max="11" width="5.8984375" style="23" bestFit="1" customWidth="1"/>
    <col min="12" max="12" width="25.8984375" style="23" bestFit="1" customWidth="1"/>
    <col min="13" max="14" width="8.19921875" style="23"/>
    <col min="15" max="15" width="35.3984375" style="23" customWidth="1"/>
    <col min="16" max="16" width="2.69921875" style="23" bestFit="1" customWidth="1"/>
    <col min="17" max="16384" width="8.19921875" style="23"/>
  </cols>
  <sheetData>
    <row r="1" spans="1:18" ht="24" thickBot="1" x14ac:dyDescent="0.35">
      <c r="A1" s="83" t="s">
        <v>38</v>
      </c>
      <c r="B1" s="83"/>
      <c r="C1" s="83"/>
      <c r="D1" s="83"/>
      <c r="E1" s="83"/>
      <c r="F1" s="83"/>
      <c r="G1" s="83"/>
      <c r="H1" s="83"/>
      <c r="I1" s="83"/>
      <c r="J1" s="28" t="s">
        <v>28</v>
      </c>
      <c r="K1" s="29" t="s">
        <v>60</v>
      </c>
      <c r="L1" s="22"/>
      <c r="M1" s="22"/>
      <c r="N1" s="22"/>
    </row>
    <row r="2" spans="1:18" ht="14.4" x14ac:dyDescent="0.3">
      <c r="A2" s="16"/>
      <c r="B2" s="16"/>
      <c r="C2" s="16"/>
      <c r="D2" s="16"/>
      <c r="E2" s="16"/>
      <c r="F2" s="16"/>
      <c r="G2" s="16"/>
      <c r="H2" s="16"/>
      <c r="I2" s="16"/>
      <c r="J2" s="22"/>
    </row>
    <row r="3" spans="1:18" ht="18" x14ac:dyDescent="0.35">
      <c r="A3" s="74" t="s">
        <v>39</v>
      </c>
      <c r="B3" s="74" t="s">
        <v>40</v>
      </c>
      <c r="C3" s="74" t="s">
        <v>23</v>
      </c>
      <c r="D3" s="74" t="s">
        <v>24</v>
      </c>
      <c r="E3" s="74" t="s">
        <v>25</v>
      </c>
      <c r="F3" s="74" t="s">
        <v>26</v>
      </c>
      <c r="G3" s="74" t="s">
        <v>27</v>
      </c>
      <c r="H3" s="74" t="s">
        <v>28</v>
      </c>
      <c r="I3" s="74" t="s">
        <v>29</v>
      </c>
      <c r="J3" s="22"/>
      <c r="K3" s="22"/>
      <c r="L3" s="22"/>
      <c r="M3" s="22"/>
      <c r="N3" s="22"/>
      <c r="O3" s="22"/>
      <c r="P3" s="22"/>
      <c r="Q3" s="22"/>
      <c r="R3" s="22"/>
    </row>
    <row r="4" spans="1:18" ht="14.4" x14ac:dyDescent="0.3">
      <c r="A4" s="31" t="s">
        <v>41</v>
      </c>
      <c r="B4" s="75">
        <v>44470</v>
      </c>
      <c r="C4" s="75">
        <f>B4+30</f>
        <v>44500</v>
      </c>
      <c r="D4" s="31" t="s">
        <v>30</v>
      </c>
      <c r="E4" s="76">
        <v>0.33</v>
      </c>
      <c r="F4" s="31">
        <v>6</v>
      </c>
      <c r="G4" s="46">
        <f>E4*F4</f>
        <v>1.98</v>
      </c>
      <c r="H4" s="77" t="e">
        <f>K1*G4</f>
        <v>#VALUE!</v>
      </c>
      <c r="I4" s="46" t="e">
        <f>H4+G4</f>
        <v>#VALUE!</v>
      </c>
      <c r="J4" s="22"/>
      <c r="K4" s="22"/>
      <c r="L4" s="22"/>
      <c r="M4" s="22"/>
      <c r="N4" s="22"/>
      <c r="O4" s="22"/>
      <c r="P4" s="22"/>
      <c r="Q4" s="22"/>
      <c r="R4" s="22"/>
    </row>
    <row r="5" spans="1:18" ht="14.4" x14ac:dyDescent="0.3">
      <c r="A5" s="31" t="s">
        <v>43</v>
      </c>
      <c r="B5" s="75">
        <v>44476</v>
      </c>
      <c r="C5" s="75">
        <f t="shared" ref="C5:C30" si="0">B5+30</f>
        <v>44506</v>
      </c>
      <c r="D5" s="31" t="s">
        <v>31</v>
      </c>
      <c r="E5" s="76">
        <v>0.13</v>
      </c>
      <c r="F5" s="31">
        <v>25</v>
      </c>
      <c r="G5" s="46">
        <f t="shared" ref="G5:G29" si="1">E5*F5</f>
        <v>3.25</v>
      </c>
      <c r="H5" s="77" t="e">
        <f>K1*G5</f>
        <v>#VALUE!</v>
      </c>
      <c r="I5" s="46" t="e">
        <f t="shared" ref="I5:I30" si="2">H5+G5</f>
        <v>#VALUE!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14.4" x14ac:dyDescent="0.3">
      <c r="A6" s="31" t="s">
        <v>45</v>
      </c>
      <c r="B6" s="75">
        <v>44489</v>
      </c>
      <c r="C6" s="75">
        <f t="shared" si="0"/>
        <v>44519</v>
      </c>
      <c r="D6" s="31" t="s">
        <v>32</v>
      </c>
      <c r="E6" s="76">
        <v>0.72</v>
      </c>
      <c r="F6" s="31">
        <v>87</v>
      </c>
      <c r="G6" s="46">
        <f t="shared" si="1"/>
        <v>62.64</v>
      </c>
      <c r="H6" s="77" t="e">
        <f>K1*G6</f>
        <v>#VALUE!</v>
      </c>
      <c r="I6" s="46" t="e">
        <f t="shared" si="2"/>
        <v>#VALUE!</v>
      </c>
      <c r="J6" s="22"/>
      <c r="K6" s="22"/>
      <c r="L6" s="22"/>
      <c r="M6" s="22"/>
      <c r="N6" s="22"/>
      <c r="O6" s="22"/>
      <c r="P6" s="22"/>
      <c r="Q6" s="22"/>
      <c r="R6" s="22"/>
    </row>
    <row r="7" spans="1:18" ht="14.4" x14ac:dyDescent="0.3">
      <c r="A7" s="31" t="s">
        <v>48</v>
      </c>
      <c r="B7" s="75">
        <v>44470</v>
      </c>
      <c r="C7" s="75">
        <f t="shared" si="0"/>
        <v>44500</v>
      </c>
      <c r="D7" s="31" t="s">
        <v>33</v>
      </c>
      <c r="E7" s="76">
        <v>0.12</v>
      </c>
      <c r="F7" s="31">
        <v>22</v>
      </c>
      <c r="G7" s="46">
        <f t="shared" si="1"/>
        <v>2.6399999999999997</v>
      </c>
      <c r="H7" s="77" t="e">
        <f>K1*G7</f>
        <v>#VALUE!</v>
      </c>
      <c r="I7" s="46" t="e">
        <f t="shared" si="2"/>
        <v>#VALUE!</v>
      </c>
      <c r="J7" s="22"/>
      <c r="K7" s="22"/>
      <c r="L7" s="22"/>
      <c r="M7" s="22"/>
      <c r="N7" s="22"/>
      <c r="O7" s="22"/>
      <c r="P7" s="22"/>
      <c r="Q7" s="22"/>
      <c r="R7" s="22"/>
    </row>
    <row r="8" spans="1:18" ht="14.4" customHeight="1" x14ac:dyDescent="0.3">
      <c r="A8" s="31" t="s">
        <v>51</v>
      </c>
      <c r="B8" s="75">
        <v>44482</v>
      </c>
      <c r="C8" s="75">
        <f t="shared" si="0"/>
        <v>44512</v>
      </c>
      <c r="D8" s="31" t="s">
        <v>34</v>
      </c>
      <c r="E8" s="76">
        <v>0.12</v>
      </c>
      <c r="F8" s="31">
        <v>87</v>
      </c>
      <c r="G8" s="46">
        <f t="shared" si="1"/>
        <v>10.44</v>
      </c>
      <c r="H8" s="77" t="e">
        <f>K1*G8</f>
        <v>#VALUE!</v>
      </c>
      <c r="I8" s="46" t="e">
        <f t="shared" si="2"/>
        <v>#VALUE!</v>
      </c>
      <c r="J8" s="22"/>
      <c r="K8" s="22"/>
      <c r="L8" s="22"/>
      <c r="M8" s="22"/>
      <c r="N8" s="22"/>
      <c r="O8" s="22"/>
      <c r="P8" s="22"/>
      <c r="Q8" s="22"/>
      <c r="R8" s="22"/>
    </row>
    <row r="9" spans="1:18" ht="14.4" x14ac:dyDescent="0.3">
      <c r="A9" s="31" t="s">
        <v>53</v>
      </c>
      <c r="B9" s="75">
        <v>44476</v>
      </c>
      <c r="C9" s="75">
        <f t="shared" si="0"/>
        <v>44506</v>
      </c>
      <c r="D9" s="31" t="s">
        <v>35</v>
      </c>
      <c r="E9" s="76">
        <v>37</v>
      </c>
      <c r="F9" s="31">
        <v>54</v>
      </c>
      <c r="G9" s="46">
        <f t="shared" si="1"/>
        <v>1998</v>
      </c>
      <c r="H9" s="46" t="e">
        <f>K1*G9</f>
        <v>#VALUE!</v>
      </c>
      <c r="I9" s="46" t="e">
        <f t="shared" si="2"/>
        <v>#VALUE!</v>
      </c>
      <c r="J9" s="22"/>
      <c r="K9" s="22"/>
      <c r="L9" s="22"/>
      <c r="M9" s="22"/>
      <c r="N9" s="22"/>
      <c r="O9" s="22"/>
      <c r="P9" s="22"/>
      <c r="Q9" s="22"/>
      <c r="R9" s="22"/>
    </row>
    <row r="10" spans="1:18" ht="14.4" x14ac:dyDescent="0.3">
      <c r="A10" s="31" t="s">
        <v>56</v>
      </c>
      <c r="B10" s="75">
        <v>44474</v>
      </c>
      <c r="C10" s="75">
        <f t="shared" si="0"/>
        <v>44504</v>
      </c>
      <c r="D10" s="31" t="s">
        <v>33</v>
      </c>
      <c r="E10" s="76">
        <v>23.1</v>
      </c>
      <c r="F10" s="31">
        <v>24</v>
      </c>
      <c r="G10" s="46">
        <f t="shared" si="1"/>
        <v>554.40000000000009</v>
      </c>
      <c r="H10" s="46" t="e">
        <f>K1*G10</f>
        <v>#VALUE!</v>
      </c>
      <c r="I10" s="46" t="e">
        <f t="shared" si="2"/>
        <v>#VALUE!</v>
      </c>
      <c r="J10" s="22"/>
      <c r="K10" s="22"/>
      <c r="L10" s="82" t="s">
        <v>61</v>
      </c>
      <c r="M10" s="22"/>
      <c r="N10" s="22"/>
      <c r="O10" s="22"/>
      <c r="P10" s="22"/>
      <c r="Q10" s="22"/>
      <c r="R10" s="22"/>
    </row>
    <row r="11" spans="1:18" ht="14.4" x14ac:dyDescent="0.3">
      <c r="A11" s="31" t="s">
        <v>41</v>
      </c>
      <c r="B11" s="75">
        <v>44484</v>
      </c>
      <c r="C11" s="75">
        <f t="shared" si="0"/>
        <v>44514</v>
      </c>
      <c r="D11" s="31" t="s">
        <v>32</v>
      </c>
      <c r="E11" s="76">
        <v>28.9957142857143</v>
      </c>
      <c r="F11" s="31">
        <v>58</v>
      </c>
      <c r="G11" s="46">
        <f t="shared" si="1"/>
        <v>1681.7514285714294</v>
      </c>
      <c r="H11" s="46" t="e">
        <f>K1*G11</f>
        <v>#VALUE!</v>
      </c>
      <c r="I11" s="46" t="e">
        <f t="shared" si="2"/>
        <v>#VALUE!</v>
      </c>
      <c r="J11" s="22"/>
      <c r="K11" s="22"/>
      <c r="L11" s="82"/>
      <c r="M11" s="22"/>
      <c r="N11" s="22"/>
      <c r="O11" s="22"/>
      <c r="P11" s="22"/>
      <c r="Q11" s="22"/>
      <c r="R11" s="22"/>
    </row>
    <row r="12" spans="1:18" ht="14.4" x14ac:dyDescent="0.3">
      <c r="A12" s="31" t="s">
        <v>57</v>
      </c>
      <c r="B12" s="75">
        <v>44481</v>
      </c>
      <c r="C12" s="75">
        <f t="shared" si="0"/>
        <v>44511</v>
      </c>
      <c r="D12" s="31" t="s">
        <v>34</v>
      </c>
      <c r="E12" s="76">
        <v>34.047499999999999</v>
      </c>
      <c r="F12" s="31">
        <v>25</v>
      </c>
      <c r="G12" s="46">
        <f t="shared" si="1"/>
        <v>851.1875</v>
      </c>
      <c r="H12" s="46" t="e">
        <f>K1*G12</f>
        <v>#VALUE!</v>
      </c>
      <c r="I12" s="46" t="e">
        <f t="shared" si="2"/>
        <v>#VALUE!</v>
      </c>
      <c r="J12" s="22"/>
      <c r="K12" s="22"/>
      <c r="L12" s="82"/>
      <c r="M12" s="22"/>
      <c r="N12" s="22"/>
      <c r="O12" s="22"/>
      <c r="P12" s="22"/>
      <c r="Q12" s="22"/>
      <c r="R12" s="22"/>
    </row>
    <row r="13" spans="1:18" ht="14.4" x14ac:dyDescent="0.3">
      <c r="A13" s="31" t="s">
        <v>58</v>
      </c>
      <c r="B13" s="75">
        <v>44494</v>
      </c>
      <c r="C13" s="75">
        <f t="shared" si="0"/>
        <v>44524</v>
      </c>
      <c r="D13" s="31" t="s">
        <v>36</v>
      </c>
      <c r="E13" s="76">
        <v>39.099285714285699</v>
      </c>
      <c r="F13" s="31">
        <v>7</v>
      </c>
      <c r="G13" s="46">
        <f t="shared" si="1"/>
        <v>273.69499999999988</v>
      </c>
      <c r="H13" s="77" t="e">
        <f>K1*G13</f>
        <v>#VALUE!</v>
      </c>
      <c r="I13" s="46" t="e">
        <f t="shared" si="2"/>
        <v>#VALUE!</v>
      </c>
      <c r="J13" s="22"/>
      <c r="K13" s="22"/>
      <c r="L13" s="22"/>
      <c r="M13" s="22"/>
      <c r="N13" s="22"/>
      <c r="O13" s="22"/>
      <c r="P13" s="22"/>
      <c r="Q13" s="22"/>
      <c r="R13" s="22"/>
    </row>
    <row r="14" spans="1:18" ht="14.4" x14ac:dyDescent="0.3">
      <c r="A14" s="31" t="s">
        <v>58</v>
      </c>
      <c r="B14" s="75">
        <v>44531</v>
      </c>
      <c r="C14" s="75">
        <f t="shared" si="0"/>
        <v>44561</v>
      </c>
      <c r="D14" s="31" t="s">
        <v>31</v>
      </c>
      <c r="E14" s="76">
        <v>44.151071428571399</v>
      </c>
      <c r="F14" s="31">
        <v>8</v>
      </c>
      <c r="G14" s="46">
        <f t="shared" si="1"/>
        <v>353.20857142857119</v>
      </c>
      <c r="H14" s="46">
        <f>G14</f>
        <v>353.20857142857119</v>
      </c>
      <c r="I14" s="46">
        <f t="shared" si="2"/>
        <v>706.41714285714238</v>
      </c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14.4" customHeight="1" x14ac:dyDescent="0.3">
      <c r="A15" s="31" t="s">
        <v>59</v>
      </c>
      <c r="B15" s="75">
        <v>44533</v>
      </c>
      <c r="C15" s="75">
        <f t="shared" si="0"/>
        <v>44563</v>
      </c>
      <c r="D15" s="31" t="s">
        <v>33</v>
      </c>
      <c r="E15" s="76">
        <v>49.202857142857098</v>
      </c>
      <c r="F15" s="31">
        <v>4</v>
      </c>
      <c r="G15" s="46">
        <f t="shared" si="1"/>
        <v>196.81142857142839</v>
      </c>
      <c r="H15" s="77" t="e">
        <f>K1*G15</f>
        <v>#VALUE!</v>
      </c>
      <c r="I15" s="46" t="e">
        <f t="shared" si="2"/>
        <v>#VALUE!</v>
      </c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14.4" x14ac:dyDescent="0.3">
      <c r="A16" s="31" t="s">
        <v>48</v>
      </c>
      <c r="B16" s="75">
        <v>44531</v>
      </c>
      <c r="C16" s="75">
        <f t="shared" si="0"/>
        <v>44561</v>
      </c>
      <c r="D16" s="31" t="s">
        <v>30</v>
      </c>
      <c r="E16" s="76">
        <v>54.254642857142798</v>
      </c>
      <c r="F16" s="31">
        <v>2</v>
      </c>
      <c r="G16" s="46">
        <f t="shared" si="1"/>
        <v>108.5092857142856</v>
      </c>
      <c r="H16" s="77" t="e">
        <f>K1*G16</f>
        <v>#VALUE!</v>
      </c>
      <c r="I16" s="46" t="e">
        <f t="shared" si="2"/>
        <v>#VALUE!</v>
      </c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14.4" customHeight="1" x14ac:dyDescent="0.3">
      <c r="A17" s="31" t="s">
        <v>58</v>
      </c>
      <c r="B17" s="75">
        <v>44256</v>
      </c>
      <c r="C17" s="75">
        <f t="shared" si="0"/>
        <v>44286</v>
      </c>
      <c r="D17" s="31" t="s">
        <v>31</v>
      </c>
      <c r="E17" s="76">
        <v>59.306428571428597</v>
      </c>
      <c r="F17" s="31">
        <v>9</v>
      </c>
      <c r="G17" s="46">
        <f t="shared" si="1"/>
        <v>533.75785714285735</v>
      </c>
      <c r="H17" s="46" t="e">
        <f>K1*G17</f>
        <v>#VALUE!</v>
      </c>
      <c r="I17" s="46" t="e">
        <f t="shared" si="2"/>
        <v>#VALUE!</v>
      </c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14.4" x14ac:dyDescent="0.3">
      <c r="A18" s="31" t="s">
        <v>51</v>
      </c>
      <c r="B18" s="75">
        <v>44558</v>
      </c>
      <c r="C18" s="75">
        <f t="shared" si="0"/>
        <v>44588</v>
      </c>
      <c r="D18" s="31" t="s">
        <v>34</v>
      </c>
      <c r="E18" s="76">
        <v>64.358214285714297</v>
      </c>
      <c r="F18" s="31">
        <v>8</v>
      </c>
      <c r="G18" s="46">
        <f t="shared" si="1"/>
        <v>514.86571428571438</v>
      </c>
      <c r="H18" s="46" t="e">
        <f>K1*G18</f>
        <v>#VALUE!</v>
      </c>
      <c r="I18" s="46" t="e">
        <f t="shared" si="2"/>
        <v>#VALUE!</v>
      </c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4.4" customHeight="1" x14ac:dyDescent="0.3">
      <c r="A19" s="31" t="s">
        <v>53</v>
      </c>
      <c r="B19" s="75">
        <v>44557</v>
      </c>
      <c r="C19" s="75">
        <f t="shared" si="0"/>
        <v>44587</v>
      </c>
      <c r="D19" s="31" t="s">
        <v>35</v>
      </c>
      <c r="E19" s="76">
        <v>69.41</v>
      </c>
      <c r="F19" s="31">
        <v>22</v>
      </c>
      <c r="G19" s="46">
        <f t="shared" si="1"/>
        <v>1527.02</v>
      </c>
      <c r="H19" s="46" t="e">
        <f>K1*G19</f>
        <v>#VALUE!</v>
      </c>
      <c r="I19" s="46" t="e">
        <f t="shared" si="2"/>
        <v>#VALUE!</v>
      </c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4.4" x14ac:dyDescent="0.3">
      <c r="A20" s="31" t="s">
        <v>43</v>
      </c>
      <c r="B20" s="75">
        <v>44249</v>
      </c>
      <c r="C20" s="75">
        <f t="shared" si="0"/>
        <v>44279</v>
      </c>
      <c r="D20" s="31" t="s">
        <v>37</v>
      </c>
      <c r="E20" s="76">
        <v>74.461785714285696</v>
      </c>
      <c r="F20" s="31">
        <v>5</v>
      </c>
      <c r="G20" s="46">
        <f t="shared" si="1"/>
        <v>372.30892857142851</v>
      </c>
      <c r="H20" s="46" t="e">
        <f>K1*G20</f>
        <v>#VALUE!</v>
      </c>
      <c r="I20" s="46" t="e">
        <f t="shared" si="2"/>
        <v>#VALUE!</v>
      </c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4.4" x14ac:dyDescent="0.3">
      <c r="A21" s="31" t="s">
        <v>41</v>
      </c>
      <c r="B21" s="75">
        <v>44228</v>
      </c>
      <c r="C21" s="75">
        <f t="shared" si="0"/>
        <v>44258</v>
      </c>
      <c r="D21" s="31" t="s">
        <v>32</v>
      </c>
      <c r="E21" s="76">
        <v>79.513571428571396</v>
      </c>
      <c r="F21" s="31">
        <v>41</v>
      </c>
      <c r="G21" s="46">
        <f t="shared" si="1"/>
        <v>3260.0564285714272</v>
      </c>
      <c r="H21" s="46" t="e">
        <f>K1*G21</f>
        <v>#VALUE!</v>
      </c>
      <c r="I21" s="46" t="e">
        <f t="shared" si="2"/>
        <v>#VALUE!</v>
      </c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4.4" x14ac:dyDescent="0.3">
      <c r="A22" s="31" t="s">
        <v>58</v>
      </c>
      <c r="B22" s="75">
        <v>44252</v>
      </c>
      <c r="C22" s="75">
        <f t="shared" si="0"/>
        <v>44282</v>
      </c>
      <c r="D22" s="31" t="s">
        <v>36</v>
      </c>
      <c r="E22" s="76">
        <v>84.565357142857096</v>
      </c>
      <c r="F22" s="31">
        <v>14</v>
      </c>
      <c r="G22" s="46">
        <f t="shared" si="1"/>
        <v>1183.9149999999993</v>
      </c>
      <c r="H22" s="46" t="e">
        <f>G22*K1</f>
        <v>#VALUE!</v>
      </c>
      <c r="I22" s="46" t="e">
        <f t="shared" si="2"/>
        <v>#VALUE!</v>
      </c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4.4" x14ac:dyDescent="0.3">
      <c r="A23" s="31" t="s">
        <v>51</v>
      </c>
      <c r="B23" s="75">
        <v>44265</v>
      </c>
      <c r="C23" s="75">
        <f t="shared" si="0"/>
        <v>44295</v>
      </c>
      <c r="D23" s="31" t="s">
        <v>34</v>
      </c>
      <c r="E23" s="76">
        <v>89.617142857142795</v>
      </c>
      <c r="F23" s="31">
        <v>22</v>
      </c>
      <c r="G23" s="46">
        <f t="shared" si="1"/>
        <v>1971.5771428571416</v>
      </c>
      <c r="H23" s="46" t="e">
        <f>G23*K1</f>
        <v>#VALUE!</v>
      </c>
      <c r="I23" s="46" t="e">
        <f t="shared" si="2"/>
        <v>#VALUE!</v>
      </c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4.4" x14ac:dyDescent="0.3">
      <c r="A24" s="31" t="s">
        <v>41</v>
      </c>
      <c r="B24" s="75">
        <v>44242</v>
      </c>
      <c r="C24" s="75">
        <f t="shared" si="0"/>
        <v>44272</v>
      </c>
      <c r="D24" s="31" t="s">
        <v>32</v>
      </c>
      <c r="E24" s="76">
        <v>94.668928571428296</v>
      </c>
      <c r="F24" s="31">
        <v>8</v>
      </c>
      <c r="G24" s="46">
        <f t="shared" si="1"/>
        <v>757.35142857142637</v>
      </c>
      <c r="H24" s="77" t="e">
        <f>G24*K1</f>
        <v>#VALUE!</v>
      </c>
      <c r="I24" s="46" t="e">
        <f t="shared" si="2"/>
        <v>#VALUE!</v>
      </c>
      <c r="J24" s="22"/>
      <c r="K24" s="22"/>
      <c r="L24" s="22"/>
      <c r="M24" s="22"/>
      <c r="N24" s="22"/>
    </row>
    <row r="25" spans="1:18" ht="14.4" x14ac:dyDescent="0.3">
      <c r="A25" s="31" t="s">
        <v>56</v>
      </c>
      <c r="B25" s="75">
        <v>44270</v>
      </c>
      <c r="C25" s="75">
        <f t="shared" si="0"/>
        <v>44300</v>
      </c>
      <c r="D25" s="31" t="s">
        <v>33</v>
      </c>
      <c r="E25" s="76">
        <v>99.720714285714294</v>
      </c>
      <c r="F25" s="31">
        <v>1</v>
      </c>
      <c r="G25" s="46">
        <f t="shared" si="1"/>
        <v>99.720714285714294</v>
      </c>
      <c r="H25" s="77" t="e">
        <f>K1*G25</f>
        <v>#VALUE!</v>
      </c>
      <c r="I25" s="46" t="e">
        <f t="shared" si="2"/>
        <v>#VALUE!</v>
      </c>
      <c r="J25" s="22"/>
      <c r="K25" s="22"/>
      <c r="L25" s="22"/>
      <c r="M25" s="22"/>
      <c r="N25" s="22"/>
    </row>
    <row r="26" spans="1:18" ht="14.4" x14ac:dyDescent="0.3">
      <c r="A26" s="31" t="s">
        <v>48</v>
      </c>
      <c r="B26" s="75">
        <v>44256</v>
      </c>
      <c r="C26" s="75">
        <f t="shared" si="0"/>
        <v>44286</v>
      </c>
      <c r="D26" s="31" t="s">
        <v>30</v>
      </c>
      <c r="E26" s="76">
        <v>104.77249999999999</v>
      </c>
      <c r="F26" s="31">
        <v>5</v>
      </c>
      <c r="G26" s="46">
        <f t="shared" si="1"/>
        <v>523.86249999999995</v>
      </c>
      <c r="H26" s="77" t="e">
        <f>K1*G26</f>
        <v>#VALUE!</v>
      </c>
      <c r="I26" s="46" t="e">
        <f t="shared" si="2"/>
        <v>#VALUE!</v>
      </c>
      <c r="J26" s="22"/>
      <c r="K26" s="22"/>
      <c r="L26" s="22"/>
      <c r="M26" s="22"/>
      <c r="N26" s="22"/>
    </row>
    <row r="27" spans="1:18" ht="14.4" x14ac:dyDescent="0.3">
      <c r="A27" s="31" t="s">
        <v>43</v>
      </c>
      <c r="B27" s="75">
        <v>44275</v>
      </c>
      <c r="C27" s="75">
        <f t="shared" si="0"/>
        <v>44305</v>
      </c>
      <c r="D27" s="31" t="s">
        <v>37</v>
      </c>
      <c r="E27" s="46">
        <v>725</v>
      </c>
      <c r="F27" s="31">
        <v>8</v>
      </c>
      <c r="G27" s="46">
        <f t="shared" si="1"/>
        <v>5800</v>
      </c>
      <c r="H27" s="46" t="e">
        <f>K1*G27</f>
        <v>#VALUE!</v>
      </c>
      <c r="I27" s="46" t="e">
        <f t="shared" si="2"/>
        <v>#VALUE!</v>
      </c>
      <c r="J27" s="22"/>
      <c r="K27" s="22"/>
      <c r="L27" s="22"/>
      <c r="M27" s="22"/>
      <c r="N27" s="22"/>
    </row>
    <row r="28" spans="1:18" ht="14.4" x14ac:dyDescent="0.3">
      <c r="A28" s="31" t="s">
        <v>58</v>
      </c>
      <c r="B28" s="75">
        <v>44287</v>
      </c>
      <c r="C28" s="75">
        <f t="shared" si="0"/>
        <v>44317</v>
      </c>
      <c r="D28" s="31" t="s">
        <v>31</v>
      </c>
      <c r="E28" s="46">
        <v>1054.42</v>
      </c>
      <c r="F28" s="31">
        <v>9</v>
      </c>
      <c r="G28" s="46">
        <f t="shared" si="1"/>
        <v>9489.7800000000007</v>
      </c>
      <c r="H28" s="46" t="e">
        <f>K1*G28</f>
        <v>#VALUE!</v>
      </c>
      <c r="I28" s="46" t="e">
        <f t="shared" si="2"/>
        <v>#VALUE!</v>
      </c>
      <c r="J28" s="22"/>
      <c r="K28" s="22"/>
      <c r="L28" s="22"/>
      <c r="M28" s="22"/>
      <c r="N28" s="22"/>
    </row>
    <row r="29" spans="1:18" ht="14.4" x14ac:dyDescent="0.3">
      <c r="A29" s="31" t="s">
        <v>43</v>
      </c>
      <c r="B29" s="75">
        <v>44296</v>
      </c>
      <c r="C29" s="75">
        <f t="shared" si="0"/>
        <v>44326</v>
      </c>
      <c r="D29" s="31" t="s">
        <v>37</v>
      </c>
      <c r="E29" s="46">
        <v>1054.42</v>
      </c>
      <c r="F29" s="31">
        <v>4</v>
      </c>
      <c r="G29" s="46">
        <f t="shared" si="1"/>
        <v>4217.68</v>
      </c>
      <c r="H29" s="46" t="e">
        <f>K1*G29</f>
        <v>#VALUE!</v>
      </c>
      <c r="I29" s="46" t="e">
        <f t="shared" si="2"/>
        <v>#VALUE!</v>
      </c>
      <c r="J29" s="22"/>
      <c r="K29" s="22"/>
    </row>
    <row r="30" spans="1:18" ht="14.4" x14ac:dyDescent="0.3">
      <c r="A30" s="31" t="s">
        <v>57</v>
      </c>
      <c r="B30" s="75">
        <v>44283</v>
      </c>
      <c r="C30" s="75">
        <f t="shared" si="0"/>
        <v>44313</v>
      </c>
      <c r="D30" s="31" t="s">
        <v>34</v>
      </c>
      <c r="E30" s="46">
        <v>1054.44</v>
      </c>
      <c r="F30" s="31">
        <v>2</v>
      </c>
      <c r="G30" s="46">
        <f>E30*F30</f>
        <v>2108.88</v>
      </c>
      <c r="H30" s="46" t="e">
        <f>K1*G30</f>
        <v>#VALUE!</v>
      </c>
      <c r="I30" s="46" t="e">
        <f t="shared" si="2"/>
        <v>#VALUE!</v>
      </c>
      <c r="J30" s="22"/>
      <c r="K30" s="22"/>
    </row>
    <row r="31" spans="1:18" ht="14.4" x14ac:dyDescent="0.3">
      <c r="A31" s="16"/>
      <c r="B31" s="25"/>
      <c r="C31" s="18"/>
      <c r="D31" s="16"/>
      <c r="E31" s="19"/>
      <c r="F31" s="16"/>
      <c r="G31" s="17"/>
      <c r="H31" s="17"/>
      <c r="I31" s="17"/>
      <c r="J31" s="22"/>
      <c r="K31" s="22"/>
    </row>
    <row r="32" spans="1:18" ht="14.4" x14ac:dyDescent="0.3">
      <c r="A32" s="16"/>
      <c r="B32" s="16"/>
      <c r="C32" s="16"/>
      <c r="D32" s="16"/>
      <c r="E32" s="19">
        <f t="shared" ref="E32:I32" si="3">SUM(E4:E30)</f>
        <v>5019.9457142857136</v>
      </c>
      <c r="F32" s="16">
        <f t="shared" si="3"/>
        <v>567</v>
      </c>
      <c r="G32" s="17">
        <f t="shared" si="3"/>
        <v>38459.288928571419</v>
      </c>
      <c r="H32" s="17" t="e">
        <f t="shared" si="3"/>
        <v>#VALUE!</v>
      </c>
      <c r="I32" s="17" t="e">
        <f t="shared" si="3"/>
        <v>#VALUE!</v>
      </c>
      <c r="J32" s="22"/>
      <c r="K32" s="22"/>
    </row>
    <row r="33" spans="1:14" ht="14.4" x14ac:dyDescent="0.3">
      <c r="A33" s="16"/>
      <c r="B33" s="16"/>
      <c r="C33" s="16"/>
      <c r="D33" s="16"/>
      <c r="E33" s="16"/>
      <c r="F33" s="16"/>
      <c r="G33" s="17"/>
      <c r="H33" s="16"/>
      <c r="I33" s="16"/>
      <c r="J33" s="22"/>
      <c r="K33" s="22"/>
    </row>
    <row r="34" spans="1:14" ht="14.4" x14ac:dyDescent="0.3">
      <c r="A34" s="16"/>
      <c r="B34" s="16"/>
      <c r="C34" s="16"/>
      <c r="D34" s="16"/>
      <c r="E34" s="16"/>
      <c r="F34" s="16"/>
      <c r="G34" s="17"/>
      <c r="H34" s="16"/>
      <c r="I34" s="16"/>
      <c r="J34" s="22"/>
      <c r="K34" s="22"/>
    </row>
    <row r="35" spans="1:14" ht="14.4" x14ac:dyDescent="0.3">
      <c r="J35" s="27"/>
      <c r="K35" s="22"/>
      <c r="L35" s="27"/>
      <c r="M35" s="27"/>
      <c r="N35" s="27"/>
    </row>
    <row r="36" spans="1:14" ht="14.4" x14ac:dyDescent="0.3">
      <c r="J36" s="27"/>
      <c r="K36" s="22"/>
      <c r="L36" s="27"/>
      <c r="M36" s="27"/>
      <c r="N36" s="27"/>
    </row>
    <row r="37" spans="1:14" x14ac:dyDescent="0.3">
      <c r="J37" s="27"/>
      <c r="K37" s="27"/>
      <c r="L37" s="27"/>
      <c r="M37" s="27"/>
      <c r="N37" s="27"/>
    </row>
    <row r="38" spans="1:14" x14ac:dyDescent="0.3">
      <c r="J38" s="27"/>
      <c r="K38" s="27"/>
      <c r="L38" s="27"/>
      <c r="M38" s="27"/>
      <c r="N38" s="27"/>
    </row>
    <row r="39" spans="1:14" x14ac:dyDescent="0.3">
      <c r="J39" s="27"/>
      <c r="K39" s="27"/>
      <c r="L39" s="27"/>
      <c r="M39" s="27"/>
      <c r="N39" s="27"/>
    </row>
    <row r="40" spans="1:14" x14ac:dyDescent="0.3">
      <c r="J40" s="27"/>
      <c r="K40" s="27"/>
      <c r="L40" s="27"/>
      <c r="M40" s="27"/>
      <c r="N40" s="27"/>
    </row>
    <row r="41" spans="1:14" x14ac:dyDescent="0.3">
      <c r="J41" s="27"/>
      <c r="K41" s="27"/>
      <c r="L41" s="27"/>
      <c r="M41" s="27"/>
      <c r="N41" s="27"/>
    </row>
    <row r="42" spans="1:14" x14ac:dyDescent="0.3">
      <c r="J42" s="27"/>
      <c r="K42" s="27"/>
      <c r="L42" s="27"/>
      <c r="M42" s="27"/>
      <c r="N42" s="27"/>
    </row>
    <row r="43" spans="1:14" x14ac:dyDescent="0.3">
      <c r="J43" s="27"/>
      <c r="K43" s="27"/>
      <c r="L43" s="27"/>
      <c r="M43" s="27"/>
      <c r="N43" s="27"/>
    </row>
    <row r="44" spans="1:14" x14ac:dyDescent="0.3">
      <c r="J44" s="27"/>
      <c r="K44" s="27"/>
      <c r="L44" s="27"/>
      <c r="M44" s="27"/>
      <c r="N44" s="27"/>
    </row>
    <row r="45" spans="1:14" x14ac:dyDescent="0.3">
      <c r="J45" s="27"/>
      <c r="K45" s="27"/>
      <c r="L45" s="27"/>
      <c r="M45" s="27"/>
      <c r="N45" s="27"/>
    </row>
    <row r="46" spans="1:14" x14ac:dyDescent="0.3">
      <c r="J46" s="27"/>
      <c r="K46" s="27"/>
      <c r="L46" s="27"/>
      <c r="M46" s="27"/>
      <c r="N46" s="27"/>
    </row>
    <row r="47" spans="1:14" x14ac:dyDescent="0.3">
      <c r="J47" s="27"/>
      <c r="K47" s="27"/>
      <c r="L47" s="27"/>
      <c r="M47" s="27"/>
      <c r="N47" s="27"/>
    </row>
    <row r="48" spans="1:14" x14ac:dyDescent="0.3">
      <c r="J48" s="27"/>
      <c r="K48" s="27"/>
      <c r="L48" s="27"/>
      <c r="M48" s="27"/>
      <c r="N48" s="27"/>
    </row>
    <row r="49" spans="11:14" x14ac:dyDescent="0.3">
      <c r="K49" s="27"/>
      <c r="L49" s="27"/>
      <c r="M49" s="27"/>
      <c r="N49" s="27"/>
    </row>
    <row r="50" spans="11:14" x14ac:dyDescent="0.3">
      <c r="K50" s="27"/>
      <c r="L50" s="27"/>
      <c r="M50" s="27"/>
      <c r="N50" s="27"/>
    </row>
  </sheetData>
  <mergeCells count="2">
    <mergeCell ref="L10:L12"/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9245-2922-4666-804B-1FD4B4A3C8F1}">
  <sheetPr>
    <tabColor theme="9" tint="0.79998168889431442"/>
  </sheetPr>
  <dimension ref="A1:C26"/>
  <sheetViews>
    <sheetView showGridLines="0" zoomScale="115" zoomScaleNormal="115" workbookViewId="0">
      <selection activeCell="C14" sqref="A14:C14"/>
    </sheetView>
  </sheetViews>
  <sheetFormatPr defaultRowHeight="13.8" x14ac:dyDescent="0.25"/>
  <cols>
    <col min="1" max="1" width="12.5" bestFit="1" customWidth="1"/>
    <col min="3" max="3" width="66.796875" bestFit="1" customWidth="1"/>
  </cols>
  <sheetData>
    <row r="1" spans="1:3" ht="18" x14ac:dyDescent="0.35">
      <c r="A1" s="30" t="s">
        <v>62</v>
      </c>
    </row>
    <row r="2" spans="1:3" ht="14.4" x14ac:dyDescent="0.3">
      <c r="A2" s="31" t="s">
        <v>41</v>
      </c>
    </row>
    <row r="3" spans="1:3" ht="14.4" x14ac:dyDescent="0.3">
      <c r="A3" s="31" t="s">
        <v>43</v>
      </c>
    </row>
    <row r="4" spans="1:3" ht="14.4" x14ac:dyDescent="0.3">
      <c r="A4" s="31" t="s">
        <v>45</v>
      </c>
    </row>
    <row r="5" spans="1:3" ht="14.4" x14ac:dyDescent="0.3">
      <c r="A5" s="31" t="s">
        <v>48</v>
      </c>
    </row>
    <row r="6" spans="1:3" ht="14.4" x14ac:dyDescent="0.3">
      <c r="A6" s="31" t="s">
        <v>51</v>
      </c>
    </row>
    <row r="7" spans="1:3" ht="14.4" x14ac:dyDescent="0.3">
      <c r="A7" s="31" t="s">
        <v>53</v>
      </c>
      <c r="C7" s="82" t="s">
        <v>1746</v>
      </c>
    </row>
    <row r="8" spans="1:3" ht="14.4" x14ac:dyDescent="0.3">
      <c r="A8" s="31" t="s">
        <v>41</v>
      </c>
      <c r="C8" s="82"/>
    </row>
    <row r="9" spans="1:3" ht="14.4" x14ac:dyDescent="0.3">
      <c r="A9" s="31" t="s">
        <v>57</v>
      </c>
      <c r="C9" s="82"/>
    </row>
    <row r="10" spans="1:3" ht="14.4" x14ac:dyDescent="0.3">
      <c r="A10" s="31" t="s">
        <v>58</v>
      </c>
    </row>
    <row r="11" spans="1:3" ht="14.4" x14ac:dyDescent="0.3">
      <c r="A11" s="31" t="s">
        <v>58</v>
      </c>
    </row>
    <row r="12" spans="1:3" ht="14.4" x14ac:dyDescent="0.3">
      <c r="A12" s="31" t="s">
        <v>59</v>
      </c>
    </row>
    <row r="13" spans="1:3" ht="14.4" x14ac:dyDescent="0.3">
      <c r="A13" s="31" t="s">
        <v>48</v>
      </c>
    </row>
    <row r="14" spans="1:3" ht="14.4" x14ac:dyDescent="0.3">
      <c r="A14" s="31" t="s">
        <v>58</v>
      </c>
    </row>
    <row r="15" spans="1:3" ht="14.4" x14ac:dyDescent="0.3">
      <c r="A15" s="31" t="s">
        <v>51</v>
      </c>
    </row>
    <row r="16" spans="1:3" ht="14.4" x14ac:dyDescent="0.3">
      <c r="A16" s="31" t="s">
        <v>53</v>
      </c>
    </row>
    <row r="17" spans="1:1" ht="14.4" x14ac:dyDescent="0.3">
      <c r="A17" s="31" t="s">
        <v>43</v>
      </c>
    </row>
    <row r="18" spans="1:1" ht="14.4" x14ac:dyDescent="0.3">
      <c r="A18" s="31" t="s">
        <v>41</v>
      </c>
    </row>
    <row r="19" spans="1:1" ht="14.4" x14ac:dyDescent="0.3">
      <c r="A19" s="31" t="s">
        <v>58</v>
      </c>
    </row>
    <row r="20" spans="1:1" ht="14.4" x14ac:dyDescent="0.3">
      <c r="A20" s="31" t="s">
        <v>51</v>
      </c>
    </row>
    <row r="21" spans="1:1" ht="14.4" x14ac:dyDescent="0.3">
      <c r="A21" s="31" t="s">
        <v>41</v>
      </c>
    </row>
    <row r="22" spans="1:1" ht="14.4" x14ac:dyDescent="0.3">
      <c r="A22" s="31" t="s">
        <v>56</v>
      </c>
    </row>
    <row r="23" spans="1:1" ht="14.4" x14ac:dyDescent="0.3">
      <c r="A23" s="31" t="s">
        <v>48</v>
      </c>
    </row>
    <row r="24" spans="1:1" ht="14.4" x14ac:dyDescent="0.3">
      <c r="A24" s="31" t="s">
        <v>43</v>
      </c>
    </row>
    <row r="25" spans="1:1" ht="14.4" x14ac:dyDescent="0.3">
      <c r="A25" s="31" t="s">
        <v>58</v>
      </c>
    </row>
    <row r="26" spans="1:1" ht="14.4" x14ac:dyDescent="0.3">
      <c r="A26" s="31" t="s">
        <v>43</v>
      </c>
    </row>
  </sheetData>
  <mergeCells count="1">
    <mergeCell ref="C7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D002-AACD-44E9-A760-830C54EC7E04}">
  <sheetPr>
    <tabColor theme="9" tint="0.79998168889431442"/>
  </sheetPr>
  <dimension ref="A1:O50"/>
  <sheetViews>
    <sheetView showGridLines="0" topLeftCell="A3" workbookViewId="0">
      <selection activeCell="K17" sqref="K17"/>
    </sheetView>
  </sheetViews>
  <sheetFormatPr defaultColWidth="8.19921875" defaultRowHeight="13.8" x14ac:dyDescent="0.3"/>
  <cols>
    <col min="1" max="1" width="13.5" style="26" bestFit="1" customWidth="1"/>
    <col min="2" max="2" width="12" style="26" customWidth="1"/>
    <col min="3" max="3" width="11.69921875" style="26" customWidth="1"/>
    <col min="4" max="4" width="18" style="26" bestFit="1" customWidth="1"/>
    <col min="5" max="5" width="10.5" style="26" bestFit="1" customWidth="1"/>
    <col min="6" max="7" width="10.5" style="26" customWidth="1"/>
    <col min="8" max="8" width="11.3984375" style="26" bestFit="1" customWidth="1"/>
    <col min="9" max="9" width="13.8984375" style="26" customWidth="1"/>
    <col min="10" max="10" width="7.59765625" style="23" customWidth="1"/>
    <col min="11" max="11" width="9.5" style="23" customWidth="1"/>
    <col min="12" max="14" width="8.19921875" style="23"/>
    <col min="15" max="15" width="18.69921875" style="23" customWidth="1"/>
    <col min="16" max="16384" width="8.19921875" style="23"/>
  </cols>
  <sheetData>
    <row r="1" spans="1:15" ht="24" thickBot="1" x14ac:dyDescent="0.5">
      <c r="A1" s="85" t="s">
        <v>38</v>
      </c>
      <c r="B1" s="85"/>
      <c r="C1" s="85"/>
      <c r="D1" s="85"/>
      <c r="E1" s="85"/>
      <c r="F1" s="85"/>
      <c r="G1" s="85"/>
      <c r="H1" s="85"/>
      <c r="I1" s="85"/>
      <c r="J1" s="20" t="s">
        <v>28</v>
      </c>
      <c r="K1" s="21">
        <v>0.05</v>
      </c>
      <c r="L1" s="22"/>
      <c r="M1" s="22"/>
      <c r="N1" s="22"/>
    </row>
    <row r="2" spans="1:15" ht="14.4" x14ac:dyDescent="0.3">
      <c r="A2" s="16"/>
      <c r="B2" s="16"/>
      <c r="C2" s="16"/>
      <c r="D2" s="16"/>
      <c r="E2" s="16"/>
      <c r="F2" s="16"/>
      <c r="G2" s="16"/>
      <c r="H2" s="16"/>
      <c r="I2" s="16"/>
      <c r="J2" s="22"/>
    </row>
    <row r="3" spans="1:15" ht="18" x14ac:dyDescent="0.35">
      <c r="A3" s="74" t="s">
        <v>39</v>
      </c>
      <c r="B3" s="74" t="s">
        <v>40</v>
      </c>
      <c r="C3" s="74" t="s">
        <v>23</v>
      </c>
      <c r="D3" s="74" t="s">
        <v>24</v>
      </c>
      <c r="E3" s="74" t="s">
        <v>25</v>
      </c>
      <c r="F3" s="74" t="s">
        <v>26</v>
      </c>
      <c r="G3" s="74" t="s">
        <v>27</v>
      </c>
      <c r="H3" s="74" t="s">
        <v>28</v>
      </c>
      <c r="I3" s="74" t="s">
        <v>29</v>
      </c>
      <c r="J3" s="22"/>
    </row>
    <row r="4" spans="1:15" ht="18" x14ac:dyDescent="0.35">
      <c r="A4" s="31" t="s">
        <v>41</v>
      </c>
      <c r="B4" s="75">
        <v>44470</v>
      </c>
      <c r="C4" s="75">
        <f>B4+30</f>
        <v>44500</v>
      </c>
      <c r="D4" s="31" t="s">
        <v>30</v>
      </c>
      <c r="E4" s="76">
        <v>0.33</v>
      </c>
      <c r="F4" s="31">
        <v>6</v>
      </c>
      <c r="G4" s="46">
        <f>E4*F4</f>
        <v>1.98</v>
      </c>
      <c r="H4" s="77">
        <f>K1*G4</f>
        <v>9.9000000000000005E-2</v>
      </c>
      <c r="I4" s="46">
        <f>H4+G4</f>
        <v>2.0790000000000002</v>
      </c>
      <c r="J4" s="22"/>
      <c r="K4" s="86" t="s">
        <v>42</v>
      </c>
      <c r="L4" s="86"/>
      <c r="M4" s="86"/>
      <c r="N4" s="86"/>
      <c r="O4" s="86"/>
    </row>
    <row r="5" spans="1:15" ht="14.4" x14ac:dyDescent="0.3">
      <c r="A5" s="31" t="s">
        <v>43</v>
      </c>
      <c r="B5" s="75">
        <v>44476</v>
      </c>
      <c r="C5" s="75">
        <f t="shared" ref="C5:C30" si="0">B5+30</f>
        <v>44506</v>
      </c>
      <c r="D5" s="31" t="s">
        <v>31</v>
      </c>
      <c r="E5" s="76">
        <v>0.13</v>
      </c>
      <c r="F5" s="31">
        <v>25</v>
      </c>
      <c r="G5" s="46">
        <f t="shared" ref="G5:G29" si="1">E5*F5</f>
        <v>3.25</v>
      </c>
      <c r="H5" s="77">
        <f>K1*G5</f>
        <v>0.16250000000000001</v>
      </c>
      <c r="I5" s="46">
        <f t="shared" ref="I5:I30" si="2">H5+G5</f>
        <v>3.4125000000000001</v>
      </c>
      <c r="J5" s="22"/>
      <c r="K5" s="87" t="s">
        <v>44</v>
      </c>
      <c r="L5" s="87"/>
      <c r="M5" s="87"/>
      <c r="N5" s="87"/>
      <c r="O5" s="87"/>
    </row>
    <row r="6" spans="1:15" ht="14.4" x14ac:dyDescent="0.3">
      <c r="A6" s="31" t="s">
        <v>45</v>
      </c>
      <c r="B6" s="75">
        <v>44489</v>
      </c>
      <c r="C6" s="75">
        <f t="shared" si="0"/>
        <v>44519</v>
      </c>
      <c r="D6" s="31" t="s">
        <v>32</v>
      </c>
      <c r="E6" s="76">
        <v>0.72</v>
      </c>
      <c r="F6" s="31">
        <v>87</v>
      </c>
      <c r="G6" s="46">
        <f t="shared" si="1"/>
        <v>62.64</v>
      </c>
      <c r="H6" s="77">
        <f>K1*G6</f>
        <v>3.1320000000000001</v>
      </c>
      <c r="I6" s="46">
        <f t="shared" si="2"/>
        <v>65.772000000000006</v>
      </c>
      <c r="J6" s="22"/>
      <c r="K6" s="24" t="s">
        <v>46</v>
      </c>
      <c r="L6" s="84" t="s">
        <v>47</v>
      </c>
      <c r="M6" s="84"/>
      <c r="N6" s="84"/>
      <c r="O6" s="84"/>
    </row>
    <row r="7" spans="1:15" ht="14.4" x14ac:dyDescent="0.3">
      <c r="A7" s="31" t="s">
        <v>48</v>
      </c>
      <c r="B7" s="75">
        <v>44470</v>
      </c>
      <c r="C7" s="75">
        <f t="shared" si="0"/>
        <v>44500</v>
      </c>
      <c r="D7" s="31" t="s">
        <v>33</v>
      </c>
      <c r="E7" s="76">
        <v>0.12</v>
      </c>
      <c r="F7" s="31">
        <v>22</v>
      </c>
      <c r="G7" s="46">
        <f t="shared" si="1"/>
        <v>2.6399999999999997</v>
      </c>
      <c r="H7" s="77">
        <f>K1*G7</f>
        <v>0.13199999999999998</v>
      </c>
      <c r="I7" s="46">
        <f t="shared" si="2"/>
        <v>2.7719999999999998</v>
      </c>
      <c r="J7" s="22"/>
      <c r="K7" s="24" t="s">
        <v>49</v>
      </c>
      <c r="L7" s="84" t="s">
        <v>50</v>
      </c>
      <c r="M7" s="84"/>
      <c r="N7" s="84"/>
      <c r="O7" s="84"/>
    </row>
    <row r="8" spans="1:15" ht="14.4" customHeight="1" x14ac:dyDescent="0.3">
      <c r="A8" s="31" t="s">
        <v>51</v>
      </c>
      <c r="B8" s="75">
        <v>44482</v>
      </c>
      <c r="C8" s="75">
        <f t="shared" si="0"/>
        <v>44512</v>
      </c>
      <c r="D8" s="31" t="s">
        <v>34</v>
      </c>
      <c r="E8" s="76">
        <v>0.12</v>
      </c>
      <c r="F8" s="31">
        <v>87</v>
      </c>
      <c r="G8" s="46">
        <f t="shared" si="1"/>
        <v>10.44</v>
      </c>
      <c r="H8" s="77">
        <f>K1*G8</f>
        <v>0.52200000000000002</v>
      </c>
      <c r="I8" s="46">
        <f t="shared" si="2"/>
        <v>10.962</v>
      </c>
      <c r="J8" s="22"/>
      <c r="K8" s="24" t="s">
        <v>52</v>
      </c>
      <c r="L8" s="84" t="s">
        <v>63</v>
      </c>
      <c r="M8" s="84"/>
      <c r="N8" s="84"/>
      <c r="O8" s="84"/>
    </row>
    <row r="9" spans="1:15" ht="14.4" x14ac:dyDescent="0.3">
      <c r="A9" s="31" t="s">
        <v>53</v>
      </c>
      <c r="B9" s="75">
        <v>44476</v>
      </c>
      <c r="C9" s="75">
        <f t="shared" si="0"/>
        <v>44506</v>
      </c>
      <c r="D9" s="31" t="s">
        <v>35</v>
      </c>
      <c r="E9" s="76">
        <v>37</v>
      </c>
      <c r="F9" s="31">
        <v>54</v>
      </c>
      <c r="G9" s="46">
        <f t="shared" si="1"/>
        <v>1998</v>
      </c>
      <c r="H9" s="46">
        <f>K1*G9</f>
        <v>99.9</v>
      </c>
      <c r="I9" s="46">
        <f t="shared" si="2"/>
        <v>2097.9</v>
      </c>
      <c r="J9" s="22"/>
      <c r="K9" s="24" t="s">
        <v>54</v>
      </c>
      <c r="L9" s="84" t="s">
        <v>55</v>
      </c>
      <c r="M9" s="84"/>
      <c r="N9" s="84"/>
      <c r="O9" s="84"/>
    </row>
    <row r="10" spans="1:15" ht="14.4" x14ac:dyDescent="0.3">
      <c r="A10" s="31" t="s">
        <v>56</v>
      </c>
      <c r="B10" s="75">
        <v>44474</v>
      </c>
      <c r="C10" s="75">
        <f t="shared" si="0"/>
        <v>44504</v>
      </c>
      <c r="D10" s="31" t="s">
        <v>33</v>
      </c>
      <c r="E10" s="76">
        <v>23.1</v>
      </c>
      <c r="F10" s="31">
        <v>24</v>
      </c>
      <c r="G10" s="46">
        <f t="shared" si="1"/>
        <v>554.40000000000009</v>
      </c>
      <c r="H10" s="46">
        <f>K1*G10</f>
        <v>27.720000000000006</v>
      </c>
      <c r="I10" s="46">
        <f t="shared" si="2"/>
        <v>582.12000000000012</v>
      </c>
      <c r="J10" s="22"/>
      <c r="K10" s="22"/>
      <c r="L10" s="22"/>
      <c r="M10" s="22"/>
      <c r="N10" s="22"/>
      <c r="O10" s="22"/>
    </row>
    <row r="11" spans="1:15" ht="14.4" x14ac:dyDescent="0.3">
      <c r="A11" s="31" t="s">
        <v>41</v>
      </c>
      <c r="B11" s="75">
        <v>44484</v>
      </c>
      <c r="C11" s="75">
        <f t="shared" si="0"/>
        <v>44514</v>
      </c>
      <c r="D11" s="31" t="s">
        <v>32</v>
      </c>
      <c r="E11" s="76">
        <v>28.9957142857143</v>
      </c>
      <c r="F11" s="31">
        <v>58</v>
      </c>
      <c r="G11" s="46">
        <f t="shared" si="1"/>
        <v>1681.7514285714294</v>
      </c>
      <c r="H11" s="46">
        <f>K1*G11</f>
        <v>84.087571428571479</v>
      </c>
      <c r="I11" s="46">
        <f t="shared" si="2"/>
        <v>1765.8390000000009</v>
      </c>
      <c r="J11" s="22"/>
      <c r="K11" s="22"/>
      <c r="L11" s="22"/>
      <c r="M11" s="22"/>
      <c r="N11" s="22"/>
      <c r="O11" s="22"/>
    </row>
    <row r="12" spans="1:15" ht="14.4" x14ac:dyDescent="0.3">
      <c r="A12" s="31" t="s">
        <v>57</v>
      </c>
      <c r="B12" s="75">
        <v>44481</v>
      </c>
      <c r="C12" s="75">
        <f t="shared" si="0"/>
        <v>44511</v>
      </c>
      <c r="D12" s="31" t="s">
        <v>34</v>
      </c>
      <c r="E12" s="76">
        <v>34.047499999999999</v>
      </c>
      <c r="F12" s="31">
        <v>25</v>
      </c>
      <c r="G12" s="46">
        <f t="shared" si="1"/>
        <v>851.1875</v>
      </c>
      <c r="H12" s="46">
        <f>K1*G12</f>
        <v>42.559375000000003</v>
      </c>
      <c r="I12" s="46">
        <f t="shared" si="2"/>
        <v>893.74687500000005</v>
      </c>
      <c r="J12" s="22"/>
      <c r="K12" s="22"/>
      <c r="L12" s="22"/>
      <c r="M12" s="22"/>
      <c r="N12" s="22"/>
      <c r="O12" s="22"/>
    </row>
    <row r="13" spans="1:15" ht="14.4" x14ac:dyDescent="0.3">
      <c r="A13" s="31" t="s">
        <v>58</v>
      </c>
      <c r="B13" s="75">
        <v>44494</v>
      </c>
      <c r="C13" s="75">
        <f t="shared" si="0"/>
        <v>44524</v>
      </c>
      <c r="D13" s="31" t="s">
        <v>36</v>
      </c>
      <c r="E13" s="76">
        <v>39.099285714285699</v>
      </c>
      <c r="F13" s="31">
        <v>7</v>
      </c>
      <c r="G13" s="46">
        <f t="shared" si="1"/>
        <v>273.69499999999988</v>
      </c>
      <c r="H13" s="77">
        <f>K1*G13</f>
        <v>13.684749999999994</v>
      </c>
      <c r="I13" s="46">
        <f t="shared" si="2"/>
        <v>287.37974999999989</v>
      </c>
      <c r="J13" s="22"/>
      <c r="K13" s="22"/>
      <c r="L13" s="22"/>
      <c r="M13" s="22"/>
      <c r="N13" s="22"/>
      <c r="O13" s="22"/>
    </row>
    <row r="14" spans="1:15" ht="14.4" x14ac:dyDescent="0.3">
      <c r="A14" s="31" t="s">
        <v>58</v>
      </c>
      <c r="B14" s="75">
        <v>44531</v>
      </c>
      <c r="C14" s="75">
        <f t="shared" si="0"/>
        <v>44561</v>
      </c>
      <c r="D14" s="31" t="s">
        <v>31</v>
      </c>
      <c r="E14" s="76">
        <v>44.151071428571399</v>
      </c>
      <c r="F14" s="31">
        <v>8</v>
      </c>
      <c r="G14" s="46">
        <f t="shared" si="1"/>
        <v>353.20857142857119</v>
      </c>
      <c r="H14" s="46">
        <f>G14</f>
        <v>353.20857142857119</v>
      </c>
      <c r="I14" s="46">
        <f t="shared" si="2"/>
        <v>706.41714285714238</v>
      </c>
      <c r="J14" s="22"/>
      <c r="K14" s="22"/>
      <c r="L14" s="22"/>
      <c r="M14" s="22"/>
      <c r="N14" s="22"/>
      <c r="O14" s="22"/>
    </row>
    <row r="15" spans="1:15" ht="14.4" customHeight="1" x14ac:dyDescent="0.3">
      <c r="A15" s="31" t="s">
        <v>59</v>
      </c>
      <c r="B15" s="75">
        <v>44533</v>
      </c>
      <c r="C15" s="75">
        <f t="shared" si="0"/>
        <v>44563</v>
      </c>
      <c r="D15" s="31" t="s">
        <v>33</v>
      </c>
      <c r="E15" s="76">
        <v>49.202857142857098</v>
      </c>
      <c r="F15" s="31">
        <v>4</v>
      </c>
      <c r="G15" s="46">
        <f t="shared" si="1"/>
        <v>196.81142857142839</v>
      </c>
      <c r="H15" s="77">
        <f>K1*G15</f>
        <v>9.8405714285714208</v>
      </c>
      <c r="I15" s="46">
        <f t="shared" si="2"/>
        <v>206.65199999999982</v>
      </c>
      <c r="J15" s="22"/>
      <c r="K15" s="22"/>
      <c r="L15" s="22"/>
      <c r="M15" s="22"/>
      <c r="N15" s="22"/>
      <c r="O15" s="22"/>
    </row>
    <row r="16" spans="1:15" ht="14.4" x14ac:dyDescent="0.3">
      <c r="A16" s="31" t="s">
        <v>48</v>
      </c>
      <c r="B16" s="75">
        <v>44531</v>
      </c>
      <c r="C16" s="75">
        <f t="shared" si="0"/>
        <v>44561</v>
      </c>
      <c r="D16" s="31" t="s">
        <v>30</v>
      </c>
      <c r="E16" s="76">
        <v>54.254642857142798</v>
      </c>
      <c r="F16" s="31">
        <v>2</v>
      </c>
      <c r="G16" s="46">
        <f t="shared" si="1"/>
        <v>108.5092857142856</v>
      </c>
      <c r="H16" s="77">
        <f>K1*G16</f>
        <v>5.4254642857142805</v>
      </c>
      <c r="I16" s="46">
        <f t="shared" si="2"/>
        <v>113.93474999999988</v>
      </c>
      <c r="J16" s="22"/>
      <c r="K16" s="22"/>
      <c r="L16" s="22"/>
      <c r="M16" s="22"/>
      <c r="N16" s="22"/>
      <c r="O16" s="22"/>
    </row>
    <row r="17" spans="1:15" ht="14.4" customHeight="1" x14ac:dyDescent="0.3">
      <c r="A17" s="31" t="s">
        <v>58</v>
      </c>
      <c r="B17" s="75">
        <v>44256</v>
      </c>
      <c r="C17" s="75">
        <f t="shared" si="0"/>
        <v>44286</v>
      </c>
      <c r="D17" s="31" t="s">
        <v>31</v>
      </c>
      <c r="E17" s="76">
        <v>59.306428571428597</v>
      </c>
      <c r="F17" s="31">
        <v>9</v>
      </c>
      <c r="G17" s="46">
        <f t="shared" si="1"/>
        <v>533.75785714285735</v>
      </c>
      <c r="H17" s="46">
        <f>K1*G17</f>
        <v>26.68789285714287</v>
      </c>
      <c r="I17" s="46">
        <f t="shared" si="2"/>
        <v>560.4457500000002</v>
      </c>
      <c r="J17" s="22"/>
      <c r="K17" s="22"/>
      <c r="L17" s="22"/>
      <c r="M17" s="22"/>
      <c r="N17" s="22"/>
      <c r="O17" s="22"/>
    </row>
    <row r="18" spans="1:15" ht="14.4" x14ac:dyDescent="0.3">
      <c r="A18" s="31" t="s">
        <v>51</v>
      </c>
      <c r="B18" s="75">
        <v>44558</v>
      </c>
      <c r="C18" s="75">
        <f t="shared" si="0"/>
        <v>44588</v>
      </c>
      <c r="D18" s="31" t="s">
        <v>34</v>
      </c>
      <c r="E18" s="76">
        <v>64.358214285714297</v>
      </c>
      <c r="F18" s="31">
        <v>8</v>
      </c>
      <c r="G18" s="46">
        <f t="shared" si="1"/>
        <v>514.86571428571438</v>
      </c>
      <c r="H18" s="46">
        <f>K1*G18</f>
        <v>25.743285714285719</v>
      </c>
      <c r="I18" s="46">
        <f t="shared" si="2"/>
        <v>540.60900000000015</v>
      </c>
      <c r="J18" s="22"/>
      <c r="K18" s="22"/>
      <c r="L18" s="22"/>
      <c r="M18" s="22"/>
      <c r="N18" s="22"/>
      <c r="O18" s="22"/>
    </row>
    <row r="19" spans="1:15" ht="14.4" customHeight="1" x14ac:dyDescent="0.3">
      <c r="A19" s="31" t="s">
        <v>53</v>
      </c>
      <c r="B19" s="75">
        <v>44557</v>
      </c>
      <c r="C19" s="75">
        <f t="shared" si="0"/>
        <v>44587</v>
      </c>
      <c r="D19" s="31" t="s">
        <v>35</v>
      </c>
      <c r="E19" s="76">
        <v>69.41</v>
      </c>
      <c r="F19" s="31">
        <v>22</v>
      </c>
      <c r="G19" s="46">
        <f t="shared" si="1"/>
        <v>1527.02</v>
      </c>
      <c r="H19" s="46">
        <f>K1*G19</f>
        <v>76.350999999999999</v>
      </c>
      <c r="I19" s="46">
        <f t="shared" si="2"/>
        <v>1603.3710000000001</v>
      </c>
      <c r="J19" s="22"/>
      <c r="K19" s="22"/>
      <c r="L19" s="22"/>
      <c r="M19" s="22"/>
      <c r="N19" s="22"/>
      <c r="O19" s="22"/>
    </row>
    <row r="20" spans="1:15" ht="14.4" x14ac:dyDescent="0.3">
      <c r="A20" s="31" t="s">
        <v>43</v>
      </c>
      <c r="B20" s="75">
        <v>44249</v>
      </c>
      <c r="C20" s="75">
        <f t="shared" si="0"/>
        <v>44279</v>
      </c>
      <c r="D20" s="31" t="s">
        <v>37</v>
      </c>
      <c r="E20" s="76">
        <v>74.461785714285696</v>
      </c>
      <c r="F20" s="31">
        <v>5</v>
      </c>
      <c r="G20" s="46">
        <f t="shared" si="1"/>
        <v>372.30892857142851</v>
      </c>
      <c r="H20" s="46">
        <f>K1*G20</f>
        <v>18.615446428571428</v>
      </c>
      <c r="I20" s="46">
        <f t="shared" si="2"/>
        <v>390.92437499999994</v>
      </c>
      <c r="J20" s="22"/>
      <c r="K20" s="22"/>
      <c r="L20" s="22"/>
      <c r="M20" s="22"/>
      <c r="N20" s="22"/>
      <c r="O20" s="22"/>
    </row>
    <row r="21" spans="1:15" ht="14.4" x14ac:dyDescent="0.3">
      <c r="A21" s="31" t="s">
        <v>41</v>
      </c>
      <c r="B21" s="75">
        <v>44228</v>
      </c>
      <c r="C21" s="75">
        <f t="shared" si="0"/>
        <v>44258</v>
      </c>
      <c r="D21" s="31" t="s">
        <v>32</v>
      </c>
      <c r="E21" s="76">
        <v>79.513571428571396</v>
      </c>
      <c r="F21" s="31">
        <v>41</v>
      </c>
      <c r="G21" s="46">
        <f t="shared" si="1"/>
        <v>3260.0564285714272</v>
      </c>
      <c r="H21" s="46">
        <f>K1*G21</f>
        <v>163.00282142857137</v>
      </c>
      <c r="I21" s="46">
        <f t="shared" si="2"/>
        <v>3423.0592499999984</v>
      </c>
      <c r="J21" s="22"/>
      <c r="K21" s="22"/>
      <c r="L21" s="22"/>
      <c r="M21" s="22"/>
      <c r="N21" s="22"/>
      <c r="O21" s="22"/>
    </row>
    <row r="22" spans="1:15" ht="14.4" x14ac:dyDescent="0.3">
      <c r="A22" s="31" t="s">
        <v>58</v>
      </c>
      <c r="B22" s="75">
        <v>44252</v>
      </c>
      <c r="C22" s="75">
        <f t="shared" si="0"/>
        <v>44282</v>
      </c>
      <c r="D22" s="31" t="s">
        <v>36</v>
      </c>
      <c r="E22" s="76">
        <v>84.565357142857096</v>
      </c>
      <c r="F22" s="31">
        <v>14</v>
      </c>
      <c r="G22" s="46">
        <f t="shared" si="1"/>
        <v>1183.9149999999993</v>
      </c>
      <c r="H22" s="46">
        <f>G22*K1</f>
        <v>59.195749999999968</v>
      </c>
      <c r="I22" s="46">
        <f t="shared" si="2"/>
        <v>1243.1107499999991</v>
      </c>
      <c r="J22" s="22"/>
      <c r="K22" s="22"/>
      <c r="L22" s="22"/>
      <c r="M22" s="22"/>
      <c r="N22" s="22"/>
      <c r="O22" s="22"/>
    </row>
    <row r="23" spans="1:15" ht="14.4" x14ac:dyDescent="0.3">
      <c r="A23" s="31" t="s">
        <v>51</v>
      </c>
      <c r="B23" s="75">
        <v>44265</v>
      </c>
      <c r="C23" s="75">
        <f t="shared" si="0"/>
        <v>44295</v>
      </c>
      <c r="D23" s="31" t="s">
        <v>34</v>
      </c>
      <c r="E23" s="76">
        <v>89.617142857142795</v>
      </c>
      <c r="F23" s="31">
        <v>22</v>
      </c>
      <c r="G23" s="46">
        <f t="shared" si="1"/>
        <v>1971.5771428571416</v>
      </c>
      <c r="H23" s="46">
        <f>G23*K1</f>
        <v>98.578857142857089</v>
      </c>
      <c r="I23" s="46">
        <f t="shared" si="2"/>
        <v>2070.1559999999986</v>
      </c>
      <c r="J23" s="22"/>
      <c r="K23" s="22"/>
      <c r="L23" s="22"/>
      <c r="M23" s="22"/>
      <c r="N23" s="22"/>
      <c r="O23" s="22"/>
    </row>
    <row r="24" spans="1:15" ht="14.4" x14ac:dyDescent="0.3">
      <c r="A24" s="31" t="s">
        <v>41</v>
      </c>
      <c r="B24" s="75">
        <v>44242</v>
      </c>
      <c r="C24" s="75">
        <f t="shared" si="0"/>
        <v>44272</v>
      </c>
      <c r="D24" s="31" t="s">
        <v>32</v>
      </c>
      <c r="E24" s="76">
        <v>94.668928571428296</v>
      </c>
      <c r="F24" s="31">
        <v>8</v>
      </c>
      <c r="G24" s="46">
        <f t="shared" si="1"/>
        <v>757.35142857142637</v>
      </c>
      <c r="H24" s="77">
        <f>G24*K1</f>
        <v>37.867571428571317</v>
      </c>
      <c r="I24" s="46">
        <f t="shared" si="2"/>
        <v>795.21899999999766</v>
      </c>
      <c r="J24" s="22"/>
      <c r="K24" s="22"/>
      <c r="L24" s="22"/>
      <c r="M24" s="22"/>
      <c r="N24" s="22"/>
      <c r="O24" s="22"/>
    </row>
    <row r="25" spans="1:15" ht="14.4" x14ac:dyDescent="0.3">
      <c r="A25" s="31" t="s">
        <v>56</v>
      </c>
      <c r="B25" s="75">
        <v>44270</v>
      </c>
      <c r="C25" s="75">
        <f t="shared" si="0"/>
        <v>44300</v>
      </c>
      <c r="D25" s="31" t="s">
        <v>33</v>
      </c>
      <c r="E25" s="76">
        <v>99.720714285714294</v>
      </c>
      <c r="F25" s="31">
        <v>1</v>
      </c>
      <c r="G25" s="46">
        <f t="shared" si="1"/>
        <v>99.720714285714294</v>
      </c>
      <c r="H25" s="77">
        <f>K1*G25</f>
        <v>4.9860357142857152</v>
      </c>
      <c r="I25" s="46">
        <f t="shared" si="2"/>
        <v>104.70675000000001</v>
      </c>
      <c r="J25" s="22"/>
      <c r="K25" s="22"/>
      <c r="L25" s="22"/>
      <c r="M25" s="22"/>
      <c r="N25" s="22"/>
    </row>
    <row r="26" spans="1:15" ht="14.4" x14ac:dyDescent="0.3">
      <c r="A26" s="31" t="s">
        <v>48</v>
      </c>
      <c r="B26" s="75">
        <v>44256</v>
      </c>
      <c r="C26" s="75">
        <f t="shared" si="0"/>
        <v>44286</v>
      </c>
      <c r="D26" s="31" t="s">
        <v>30</v>
      </c>
      <c r="E26" s="76">
        <v>104.77249999999999</v>
      </c>
      <c r="F26" s="31">
        <v>5</v>
      </c>
      <c r="G26" s="46">
        <f t="shared" si="1"/>
        <v>523.86249999999995</v>
      </c>
      <c r="H26" s="77">
        <f>K1*G26</f>
        <v>26.193124999999998</v>
      </c>
      <c r="I26" s="46">
        <f t="shared" si="2"/>
        <v>550.05562499999996</v>
      </c>
      <c r="J26" s="22"/>
      <c r="K26" s="22"/>
      <c r="L26" s="22"/>
      <c r="M26" s="22"/>
      <c r="N26" s="22"/>
    </row>
    <row r="27" spans="1:15" ht="14.4" x14ac:dyDescent="0.3">
      <c r="A27" s="31" t="s">
        <v>43</v>
      </c>
      <c r="B27" s="75">
        <v>44275</v>
      </c>
      <c r="C27" s="75">
        <f t="shared" si="0"/>
        <v>44305</v>
      </c>
      <c r="D27" s="31" t="s">
        <v>37</v>
      </c>
      <c r="E27" s="46">
        <v>725</v>
      </c>
      <c r="F27" s="31">
        <v>8</v>
      </c>
      <c r="G27" s="46">
        <f t="shared" si="1"/>
        <v>5800</v>
      </c>
      <c r="H27" s="46">
        <f>K1*G27</f>
        <v>290</v>
      </c>
      <c r="I27" s="46">
        <f t="shared" si="2"/>
        <v>6090</v>
      </c>
      <c r="J27" s="22"/>
      <c r="K27" s="22"/>
      <c r="L27" s="22"/>
      <c r="M27" s="22"/>
      <c r="N27" s="22"/>
    </row>
    <row r="28" spans="1:15" ht="14.4" x14ac:dyDescent="0.3">
      <c r="A28" s="31" t="s">
        <v>58</v>
      </c>
      <c r="B28" s="75">
        <v>44287</v>
      </c>
      <c r="C28" s="75">
        <f t="shared" si="0"/>
        <v>44317</v>
      </c>
      <c r="D28" s="31" t="s">
        <v>31</v>
      </c>
      <c r="E28" s="46">
        <v>1054.42</v>
      </c>
      <c r="F28" s="31">
        <v>9</v>
      </c>
      <c r="G28" s="46">
        <f t="shared" si="1"/>
        <v>9489.7800000000007</v>
      </c>
      <c r="H28" s="46">
        <f>K1*G28</f>
        <v>474.48900000000003</v>
      </c>
      <c r="I28" s="46">
        <f t="shared" si="2"/>
        <v>9964.2690000000002</v>
      </c>
      <c r="J28" s="22"/>
      <c r="K28" s="22"/>
      <c r="L28" s="22"/>
      <c r="M28" s="22"/>
      <c r="N28" s="22"/>
    </row>
    <row r="29" spans="1:15" ht="14.4" x14ac:dyDescent="0.3">
      <c r="A29" s="31" t="s">
        <v>43</v>
      </c>
      <c r="B29" s="75">
        <v>44296</v>
      </c>
      <c r="C29" s="75">
        <f t="shared" si="0"/>
        <v>44326</v>
      </c>
      <c r="D29" s="31" t="s">
        <v>37</v>
      </c>
      <c r="E29" s="46">
        <v>1054.42</v>
      </c>
      <c r="F29" s="31">
        <v>4</v>
      </c>
      <c r="G29" s="46">
        <f t="shared" si="1"/>
        <v>4217.68</v>
      </c>
      <c r="H29" s="46">
        <f>K1*G29</f>
        <v>210.88400000000001</v>
      </c>
      <c r="I29" s="46">
        <f t="shared" si="2"/>
        <v>4428.5640000000003</v>
      </c>
      <c r="J29" s="22"/>
      <c r="K29" s="22"/>
    </row>
    <row r="30" spans="1:15" ht="14.4" x14ac:dyDescent="0.3">
      <c r="A30" s="31" t="s">
        <v>57</v>
      </c>
      <c r="B30" s="75">
        <v>44283</v>
      </c>
      <c r="C30" s="75">
        <f t="shared" si="0"/>
        <v>44313</v>
      </c>
      <c r="D30" s="31" t="s">
        <v>34</v>
      </c>
      <c r="E30" s="46">
        <v>1054.44</v>
      </c>
      <c r="F30" s="31">
        <v>2</v>
      </c>
      <c r="G30" s="46">
        <f>E30*F30</f>
        <v>2108.88</v>
      </c>
      <c r="H30" s="46">
        <f>K1*G30</f>
        <v>105.44400000000002</v>
      </c>
      <c r="I30" s="46">
        <f t="shared" si="2"/>
        <v>2214.3240000000001</v>
      </c>
      <c r="J30" s="22"/>
      <c r="K30" s="22"/>
    </row>
    <row r="31" spans="1:15" ht="14.4" x14ac:dyDescent="0.3">
      <c r="A31" s="16"/>
      <c r="B31" s="25"/>
      <c r="C31" s="18"/>
      <c r="D31" s="16"/>
      <c r="E31" s="19"/>
      <c r="F31" s="16"/>
      <c r="G31" s="17"/>
      <c r="H31" s="17"/>
      <c r="I31" s="17"/>
      <c r="J31" s="22"/>
      <c r="K31" s="22"/>
    </row>
    <row r="32" spans="1:15" ht="14.4" x14ac:dyDescent="0.3">
      <c r="A32" s="16"/>
      <c r="B32" s="16"/>
      <c r="C32" s="16"/>
      <c r="D32" s="16"/>
      <c r="E32" s="19">
        <f t="shared" ref="E32:I32" si="3">SUM(E4:E30)</f>
        <v>5019.9457142857136</v>
      </c>
      <c r="F32" s="16">
        <f t="shared" si="3"/>
        <v>567</v>
      </c>
      <c r="G32" s="17">
        <f t="shared" si="3"/>
        <v>38459.288928571419</v>
      </c>
      <c r="H32" s="17">
        <f t="shared" si="3"/>
        <v>2258.5125892857136</v>
      </c>
      <c r="I32" s="17">
        <f t="shared" si="3"/>
        <v>40717.801517857137</v>
      </c>
      <c r="J32" s="22"/>
      <c r="K32" s="22"/>
    </row>
    <row r="33" spans="1:14" ht="14.4" x14ac:dyDescent="0.3">
      <c r="A33" s="16"/>
      <c r="B33" s="16"/>
      <c r="C33" s="16"/>
      <c r="D33" s="16"/>
      <c r="E33" s="16"/>
      <c r="F33" s="16"/>
      <c r="G33" s="17"/>
      <c r="H33" s="16"/>
      <c r="I33" s="16"/>
      <c r="J33" s="22"/>
      <c r="K33" s="22"/>
    </row>
    <row r="34" spans="1:14" ht="14.4" x14ac:dyDescent="0.3">
      <c r="A34" s="16"/>
      <c r="B34" s="16"/>
      <c r="C34" s="16"/>
      <c r="D34" s="16"/>
      <c r="E34" s="16"/>
      <c r="F34" s="16"/>
      <c r="G34" s="17"/>
      <c r="H34" s="16"/>
      <c r="I34" s="16"/>
      <c r="J34" s="22"/>
      <c r="K34" s="22"/>
    </row>
    <row r="35" spans="1:14" ht="14.4" x14ac:dyDescent="0.3">
      <c r="J35" s="27"/>
      <c r="K35" s="22"/>
      <c r="L35" s="27"/>
      <c r="M35" s="27"/>
      <c r="N35" s="27"/>
    </row>
    <row r="36" spans="1:14" ht="14.4" x14ac:dyDescent="0.3">
      <c r="J36" s="27"/>
      <c r="K36" s="22"/>
      <c r="L36" s="27"/>
      <c r="M36" s="27"/>
      <c r="N36" s="27"/>
    </row>
    <row r="37" spans="1:14" x14ac:dyDescent="0.3">
      <c r="J37" s="27"/>
      <c r="K37" s="27"/>
      <c r="L37" s="27"/>
      <c r="M37" s="27"/>
      <c r="N37" s="27"/>
    </row>
    <row r="38" spans="1:14" x14ac:dyDescent="0.3">
      <c r="J38" s="27"/>
      <c r="K38" s="27"/>
      <c r="L38" s="27"/>
      <c r="M38" s="27"/>
      <c r="N38" s="27"/>
    </row>
    <row r="39" spans="1:14" x14ac:dyDescent="0.3">
      <c r="J39" s="27"/>
      <c r="K39" s="27"/>
      <c r="L39" s="27"/>
      <c r="M39" s="27"/>
      <c r="N39" s="27"/>
    </row>
    <row r="40" spans="1:14" x14ac:dyDescent="0.3">
      <c r="J40" s="27"/>
      <c r="K40" s="27"/>
      <c r="L40" s="27"/>
      <c r="M40" s="27"/>
      <c r="N40" s="27"/>
    </row>
    <row r="41" spans="1:14" x14ac:dyDescent="0.3">
      <c r="J41" s="27"/>
      <c r="K41" s="27"/>
      <c r="L41" s="27"/>
      <c r="M41" s="27"/>
      <c r="N41" s="27"/>
    </row>
    <row r="42" spans="1:14" x14ac:dyDescent="0.3">
      <c r="J42" s="27"/>
      <c r="K42" s="27"/>
      <c r="L42" s="27"/>
      <c r="M42" s="27"/>
      <c r="N42" s="27"/>
    </row>
    <row r="43" spans="1:14" x14ac:dyDescent="0.3">
      <c r="J43" s="27"/>
      <c r="K43" s="27"/>
      <c r="L43" s="27"/>
      <c r="M43" s="27"/>
      <c r="N43" s="27"/>
    </row>
    <row r="44" spans="1:14" x14ac:dyDescent="0.3">
      <c r="J44" s="27"/>
      <c r="K44" s="27"/>
      <c r="L44" s="27"/>
      <c r="M44" s="27"/>
      <c r="N44" s="27"/>
    </row>
    <row r="45" spans="1:14" x14ac:dyDescent="0.3">
      <c r="J45" s="27"/>
      <c r="K45" s="27"/>
      <c r="L45" s="27"/>
      <c r="M45" s="27"/>
      <c r="N45" s="27"/>
    </row>
    <row r="46" spans="1:14" x14ac:dyDescent="0.3">
      <c r="J46" s="27"/>
      <c r="K46" s="27"/>
      <c r="L46" s="27"/>
      <c r="M46" s="27"/>
      <c r="N46" s="27"/>
    </row>
    <row r="47" spans="1:14" x14ac:dyDescent="0.3">
      <c r="J47" s="27"/>
      <c r="K47" s="27"/>
      <c r="L47" s="27"/>
      <c r="M47" s="27"/>
      <c r="N47" s="27"/>
    </row>
    <row r="48" spans="1:14" x14ac:dyDescent="0.3">
      <c r="J48" s="27"/>
      <c r="K48" s="27"/>
      <c r="L48" s="27"/>
      <c r="M48" s="27"/>
      <c r="N48" s="27"/>
    </row>
    <row r="49" spans="11:14" x14ac:dyDescent="0.3">
      <c r="K49" s="27"/>
      <c r="L49" s="27"/>
      <c r="M49" s="27"/>
      <c r="N49" s="27"/>
    </row>
    <row r="50" spans="11:14" x14ac:dyDescent="0.3">
      <c r="K50" s="27"/>
      <c r="L50" s="27"/>
      <c r="M50" s="27"/>
      <c r="N50" s="27"/>
    </row>
  </sheetData>
  <mergeCells count="7">
    <mergeCell ref="L7:O7"/>
    <mergeCell ref="L8:O8"/>
    <mergeCell ref="L9:O9"/>
    <mergeCell ref="A1:I1"/>
    <mergeCell ref="K4:O4"/>
    <mergeCell ref="K5:O5"/>
    <mergeCell ref="L6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1EB2-C086-4A42-86D5-A82BE22E95A7}">
  <sheetPr>
    <tabColor theme="9" tint="0.79998168889431442"/>
  </sheetPr>
  <dimension ref="B4:M18"/>
  <sheetViews>
    <sheetView showGridLines="0" zoomScale="115" zoomScaleNormal="115" workbookViewId="0">
      <selection activeCell="I8" sqref="I8:M18"/>
    </sheetView>
  </sheetViews>
  <sheetFormatPr defaultRowHeight="13.8" x14ac:dyDescent="0.25"/>
  <cols>
    <col min="2" max="2" width="11.796875" customWidth="1"/>
    <col min="6" max="6" width="15.3984375" customWidth="1"/>
    <col min="13" max="13" width="12.8984375" customWidth="1"/>
  </cols>
  <sheetData>
    <row r="4" spans="2:13" x14ac:dyDescent="0.25">
      <c r="B4" s="88" t="s">
        <v>1747</v>
      </c>
      <c r="C4" s="88"/>
      <c r="D4" s="88"/>
      <c r="E4" s="88"/>
      <c r="F4" s="88"/>
      <c r="I4" s="88" t="s">
        <v>1748</v>
      </c>
      <c r="J4" s="88"/>
      <c r="K4" s="88"/>
      <c r="L4" s="88"/>
      <c r="M4" s="88"/>
    </row>
    <row r="5" spans="2:13" x14ac:dyDescent="0.25">
      <c r="B5" s="88"/>
      <c r="C5" s="88"/>
      <c r="D5" s="88"/>
      <c r="E5" s="88"/>
      <c r="F5" s="88"/>
      <c r="I5" s="88"/>
      <c r="J5" s="88"/>
      <c r="K5" s="88"/>
      <c r="L5" s="88"/>
      <c r="M5" s="88"/>
    </row>
    <row r="8" spans="2:13" x14ac:dyDescent="0.25">
      <c r="B8" s="32"/>
      <c r="C8" s="32"/>
      <c r="D8" s="32"/>
      <c r="E8" s="32"/>
      <c r="F8" s="32"/>
      <c r="I8" s="32"/>
      <c r="J8" s="32"/>
      <c r="K8" s="32"/>
      <c r="L8" s="32"/>
      <c r="M8" s="32"/>
    </row>
    <row r="9" spans="2:13" x14ac:dyDescent="0.25">
      <c r="B9" s="32"/>
      <c r="C9" s="32"/>
      <c r="D9" s="32"/>
      <c r="E9" s="32"/>
      <c r="F9" s="32"/>
      <c r="I9" s="32"/>
      <c r="J9" s="32"/>
      <c r="K9" s="32"/>
      <c r="L9" s="32"/>
      <c r="M9" s="32"/>
    </row>
    <row r="10" spans="2:13" x14ac:dyDescent="0.25">
      <c r="B10" s="32"/>
      <c r="C10" s="32"/>
      <c r="D10" s="32"/>
      <c r="E10" s="32"/>
      <c r="F10" s="32"/>
      <c r="I10" s="32"/>
      <c r="J10" s="32"/>
      <c r="K10" s="32"/>
      <c r="L10" s="32"/>
      <c r="M10" s="32"/>
    </row>
    <row r="11" spans="2:13" x14ac:dyDescent="0.25">
      <c r="B11" s="32"/>
      <c r="C11" s="32"/>
      <c r="D11" s="32"/>
      <c r="E11" s="32"/>
      <c r="F11" s="32"/>
      <c r="I11" s="32"/>
      <c r="J11" s="32"/>
      <c r="K11" s="32"/>
      <c r="L11" s="32"/>
      <c r="M11" s="32"/>
    </row>
    <row r="12" spans="2:13" x14ac:dyDescent="0.25">
      <c r="B12" s="32"/>
      <c r="C12" s="32"/>
      <c r="D12" s="32"/>
      <c r="E12" s="32"/>
      <c r="F12" s="32"/>
      <c r="I12" s="32"/>
      <c r="J12" s="32"/>
      <c r="K12" s="32"/>
      <c r="L12" s="32"/>
      <c r="M12" s="32"/>
    </row>
    <row r="13" spans="2:13" x14ac:dyDescent="0.25">
      <c r="B13" s="32"/>
      <c r="C13" s="32"/>
      <c r="D13" s="32"/>
      <c r="E13" s="32"/>
      <c r="F13" s="32"/>
      <c r="I13" s="32"/>
      <c r="J13" s="32"/>
      <c r="K13" s="32"/>
      <c r="L13" s="32"/>
      <c r="M13" s="32"/>
    </row>
    <row r="14" spans="2:13" x14ac:dyDescent="0.25">
      <c r="B14" s="32"/>
      <c r="C14" s="32"/>
      <c r="D14" s="32"/>
      <c r="E14" s="32"/>
      <c r="F14" s="32"/>
      <c r="I14" s="32"/>
      <c r="J14" s="32"/>
      <c r="K14" s="32"/>
      <c r="L14" s="32"/>
      <c r="M14" s="32"/>
    </row>
    <row r="15" spans="2:13" x14ac:dyDescent="0.25">
      <c r="B15" s="32"/>
      <c r="C15" s="32"/>
      <c r="D15" s="32"/>
      <c r="E15" s="32"/>
      <c r="F15" s="32"/>
      <c r="I15" s="32"/>
      <c r="J15" s="32"/>
      <c r="K15" s="32"/>
      <c r="L15" s="32"/>
      <c r="M15" s="32"/>
    </row>
    <row r="16" spans="2:13" x14ac:dyDescent="0.25">
      <c r="B16" s="32"/>
      <c r="C16" s="32"/>
      <c r="D16" s="32"/>
      <c r="E16" s="32"/>
      <c r="F16" s="32"/>
      <c r="I16" s="32"/>
      <c r="J16" s="32"/>
      <c r="K16" s="32"/>
      <c r="L16" s="32"/>
      <c r="M16" s="32"/>
    </row>
    <row r="17" spans="2:13" x14ac:dyDescent="0.25">
      <c r="B17" s="32"/>
      <c r="C17" s="32"/>
      <c r="D17" s="32"/>
      <c r="E17" s="32"/>
      <c r="F17" s="32"/>
      <c r="I17" s="32"/>
      <c r="J17" s="32"/>
      <c r="K17" s="32"/>
      <c r="L17" s="32"/>
      <c r="M17" s="32"/>
    </row>
    <row r="18" spans="2:13" x14ac:dyDescent="0.25">
      <c r="B18" s="32"/>
      <c r="C18" s="32"/>
      <c r="D18" s="32"/>
      <c r="E18" s="32"/>
      <c r="F18" s="32"/>
      <c r="I18" s="32"/>
      <c r="J18" s="32"/>
      <c r="K18" s="32"/>
      <c r="L18" s="32"/>
      <c r="M18" s="32"/>
    </row>
  </sheetData>
  <mergeCells count="2">
    <mergeCell ref="B4:F5"/>
    <mergeCell ref="I4: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443D-D243-4678-B6FB-ABF110FBFEF7}">
  <sheetPr>
    <tabColor theme="9" tint="0.79998168889431442"/>
  </sheetPr>
  <dimension ref="A1:M11"/>
  <sheetViews>
    <sheetView showGridLines="0" zoomScale="115" zoomScaleNormal="115" workbookViewId="0">
      <selection activeCell="I14" sqref="I14"/>
    </sheetView>
  </sheetViews>
  <sheetFormatPr defaultColWidth="8.8984375" defaultRowHeight="13.8" x14ac:dyDescent="0.25"/>
  <cols>
    <col min="1" max="1" width="8.59765625" bestFit="1" customWidth="1"/>
    <col min="2" max="3" width="11.69921875" bestFit="1" customWidth="1"/>
    <col min="4" max="4" width="17.59765625" bestFit="1" customWidth="1"/>
    <col min="5" max="5" width="15.19921875" bestFit="1" customWidth="1"/>
  </cols>
  <sheetData>
    <row r="1" spans="1:13" ht="15.6" x14ac:dyDescent="0.3">
      <c r="A1" s="89" t="s">
        <v>64</v>
      </c>
      <c r="B1" s="89"/>
      <c r="C1" s="89"/>
      <c r="D1" s="89"/>
      <c r="E1" s="89"/>
    </row>
    <row r="2" spans="1:13" ht="15.6" x14ac:dyDescent="0.3">
      <c r="A2" s="37" t="s">
        <v>79</v>
      </c>
      <c r="B2" s="37" t="s">
        <v>65</v>
      </c>
      <c r="C2" s="37" t="s">
        <v>66</v>
      </c>
      <c r="D2" s="38" t="s">
        <v>67</v>
      </c>
      <c r="E2" s="37" t="s">
        <v>78</v>
      </c>
      <c r="H2" s="92" t="s">
        <v>1757</v>
      </c>
      <c r="I2" s="93"/>
      <c r="J2" s="93"/>
      <c r="K2" s="93"/>
      <c r="L2" s="93"/>
      <c r="M2" s="93"/>
    </row>
    <row r="3" spans="1:13" ht="14.4" x14ac:dyDescent="0.3">
      <c r="A3" s="34" t="s">
        <v>68</v>
      </c>
      <c r="B3" s="35">
        <v>225850</v>
      </c>
      <c r="C3" s="35">
        <v>378500</v>
      </c>
      <c r="D3" s="36">
        <v>9</v>
      </c>
      <c r="E3" s="33"/>
      <c r="H3" s="90" t="s">
        <v>77</v>
      </c>
      <c r="I3" s="91"/>
      <c r="J3" s="91"/>
      <c r="K3" s="91"/>
      <c r="L3" s="91"/>
      <c r="M3" s="91"/>
    </row>
    <row r="4" spans="1:13" ht="14.4" x14ac:dyDescent="0.3">
      <c r="A4" s="34" t="s">
        <v>69</v>
      </c>
      <c r="B4" s="35">
        <v>478552</v>
      </c>
      <c r="C4" s="35">
        <v>411000</v>
      </c>
      <c r="D4" s="36">
        <v>6</v>
      </c>
      <c r="E4" s="33"/>
      <c r="H4" s="91"/>
      <c r="I4" s="91"/>
      <c r="J4" s="91"/>
      <c r="K4" s="91"/>
      <c r="L4" s="91"/>
      <c r="M4" s="91"/>
    </row>
    <row r="5" spans="1:13" ht="14.4" x14ac:dyDescent="0.3">
      <c r="A5" s="34" t="s">
        <v>70</v>
      </c>
      <c r="B5" s="35">
        <v>247895</v>
      </c>
      <c r="C5" s="35">
        <v>308000</v>
      </c>
      <c r="D5" s="36">
        <v>7</v>
      </c>
      <c r="E5" s="33"/>
      <c r="H5" s="91"/>
      <c r="I5" s="91"/>
      <c r="J5" s="91"/>
      <c r="K5" s="91"/>
      <c r="L5" s="91"/>
      <c r="M5" s="91"/>
    </row>
    <row r="6" spans="1:13" ht="14.4" x14ac:dyDescent="0.3">
      <c r="A6" s="34" t="s">
        <v>71</v>
      </c>
      <c r="B6" s="35">
        <v>258741</v>
      </c>
      <c r="C6" s="35">
        <v>295001</v>
      </c>
      <c r="D6" s="36">
        <v>1</v>
      </c>
      <c r="E6" s="33"/>
      <c r="H6" s="91"/>
      <c r="I6" s="91"/>
      <c r="J6" s="91"/>
      <c r="K6" s="91"/>
      <c r="L6" s="91"/>
      <c r="M6" s="91"/>
    </row>
    <row r="7" spans="1:13" ht="14.4" x14ac:dyDescent="0.3">
      <c r="A7" s="34" t="s">
        <v>72</v>
      </c>
      <c r="B7" s="35">
        <v>589111</v>
      </c>
      <c r="C7" s="35">
        <v>435000</v>
      </c>
      <c r="D7" s="36">
        <v>3</v>
      </c>
      <c r="E7" s="33"/>
      <c r="H7" s="91"/>
      <c r="I7" s="91"/>
      <c r="J7" s="91"/>
      <c r="K7" s="91"/>
      <c r="L7" s="91"/>
      <c r="M7" s="91"/>
    </row>
    <row r="8" spans="1:13" ht="14.4" x14ac:dyDescent="0.3">
      <c r="A8" s="34" t="s">
        <v>73</v>
      </c>
      <c r="B8" s="35">
        <v>365841</v>
      </c>
      <c r="C8" s="35">
        <v>395500</v>
      </c>
      <c r="D8" s="36">
        <v>1</v>
      </c>
      <c r="E8" s="33"/>
      <c r="H8" s="91"/>
      <c r="I8" s="91"/>
      <c r="J8" s="91"/>
      <c r="K8" s="91"/>
      <c r="L8" s="91"/>
      <c r="M8" s="91"/>
    </row>
    <row r="9" spans="1:13" ht="14.4" x14ac:dyDescent="0.3">
      <c r="A9" s="34" t="s">
        <v>74</v>
      </c>
      <c r="B9" s="35">
        <v>587412</v>
      </c>
      <c r="C9" s="35">
        <v>658000</v>
      </c>
      <c r="D9" s="36">
        <v>7</v>
      </c>
      <c r="E9" s="33"/>
      <c r="H9" s="91"/>
      <c r="I9" s="91"/>
      <c r="J9" s="91"/>
      <c r="K9" s="91"/>
      <c r="L9" s="91"/>
      <c r="M9" s="91"/>
    </row>
    <row r="10" spans="1:13" ht="14.4" x14ac:dyDescent="0.3">
      <c r="A10" s="34" t="s">
        <v>75</v>
      </c>
      <c r="B10" s="35">
        <v>315874</v>
      </c>
      <c r="C10" s="35">
        <v>258000</v>
      </c>
      <c r="D10" s="36">
        <v>8</v>
      </c>
      <c r="E10" s="33"/>
    </row>
    <row r="11" spans="1:13" ht="14.4" x14ac:dyDescent="0.3">
      <c r="A11" s="34" t="s">
        <v>76</v>
      </c>
      <c r="B11" s="35">
        <v>315874</v>
      </c>
      <c r="C11" s="35">
        <v>146700</v>
      </c>
      <c r="D11" s="36">
        <v>4</v>
      </c>
      <c r="E11" s="33"/>
    </row>
  </sheetData>
  <mergeCells count="3">
    <mergeCell ref="A1:E1"/>
    <mergeCell ref="H3:M9"/>
    <mergeCell ref="H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95F5-585D-478A-9493-57FE7E26AA47}">
  <sheetPr>
    <tabColor theme="9" tint="0.79998168889431442"/>
  </sheetPr>
  <dimension ref="A1:M101"/>
  <sheetViews>
    <sheetView showGridLines="0" zoomScaleNormal="100" workbookViewId="0">
      <selection activeCell="K10" sqref="K10"/>
    </sheetView>
  </sheetViews>
  <sheetFormatPr defaultRowHeight="17.399999999999999" x14ac:dyDescent="0.3"/>
  <cols>
    <col min="1" max="1" width="5.59765625" style="44" bestFit="1" customWidth="1"/>
    <col min="2" max="2" width="20.8984375" style="44" bestFit="1" customWidth="1"/>
    <col min="3" max="3" width="8.796875" style="44"/>
    <col min="4" max="4" width="6.796875" style="44" bestFit="1" customWidth="1"/>
    <col min="5" max="5" width="4.59765625" style="44" bestFit="1" customWidth="1"/>
    <col min="6" max="6" width="13" style="44" customWidth="1"/>
    <col min="11" max="11" width="15.796875" style="44" bestFit="1" customWidth="1"/>
    <col min="12" max="12" width="6.69921875" style="44" bestFit="1" customWidth="1"/>
    <col min="13" max="13" width="19.59765625" customWidth="1"/>
  </cols>
  <sheetData>
    <row r="1" spans="1:13" ht="18" x14ac:dyDescent="0.35">
      <c r="A1" s="41" t="s">
        <v>80</v>
      </c>
      <c r="B1" s="42" t="s">
        <v>79</v>
      </c>
      <c r="C1" s="41" t="s">
        <v>81</v>
      </c>
      <c r="D1" s="41" t="s">
        <v>82</v>
      </c>
      <c r="E1" s="41" t="s">
        <v>83</v>
      </c>
      <c r="F1" s="41" t="s">
        <v>188</v>
      </c>
      <c r="K1" s="41" t="s">
        <v>191</v>
      </c>
      <c r="L1" s="41" t="s">
        <v>188</v>
      </c>
      <c r="M1" s="41" t="s">
        <v>198</v>
      </c>
    </row>
    <row r="2" spans="1:13" ht="18" x14ac:dyDescent="0.35">
      <c r="A2" s="39">
        <v>1</v>
      </c>
      <c r="B2" s="40" t="s">
        <v>84</v>
      </c>
      <c r="C2" s="39" t="s">
        <v>85</v>
      </c>
      <c r="D2" s="39">
        <v>67</v>
      </c>
      <c r="E2" s="39">
        <v>17</v>
      </c>
      <c r="F2" s="43"/>
      <c r="K2" s="39" t="s">
        <v>190</v>
      </c>
      <c r="L2" s="39" t="s">
        <v>189</v>
      </c>
      <c r="M2" s="39" t="s">
        <v>196</v>
      </c>
    </row>
    <row r="3" spans="1:13" ht="18" x14ac:dyDescent="0.35">
      <c r="A3" s="39">
        <v>2</v>
      </c>
      <c r="B3" s="40" t="s">
        <v>86</v>
      </c>
      <c r="C3" s="39" t="s">
        <v>87</v>
      </c>
      <c r="D3" s="39">
        <v>41</v>
      </c>
      <c r="E3" s="39">
        <v>16</v>
      </c>
      <c r="F3" s="43"/>
      <c r="K3" s="39" t="s">
        <v>1762</v>
      </c>
      <c r="L3" s="39" t="s">
        <v>193</v>
      </c>
      <c r="M3" s="39" t="s">
        <v>197</v>
      </c>
    </row>
    <row r="4" spans="1:13" ht="18" x14ac:dyDescent="0.35">
      <c r="A4" s="39">
        <v>3</v>
      </c>
      <c r="B4" s="40" t="s">
        <v>88</v>
      </c>
      <c r="C4" s="39" t="s">
        <v>89</v>
      </c>
      <c r="D4" s="39">
        <v>55</v>
      </c>
      <c r="E4" s="39">
        <v>17</v>
      </c>
      <c r="F4" s="43"/>
      <c r="K4" s="39" t="s">
        <v>1761</v>
      </c>
      <c r="L4" s="39" t="s">
        <v>192</v>
      </c>
      <c r="M4" s="39" t="s">
        <v>197</v>
      </c>
    </row>
    <row r="5" spans="1:13" ht="18" x14ac:dyDescent="0.35">
      <c r="A5" s="39">
        <v>4</v>
      </c>
      <c r="B5" s="40" t="s">
        <v>90</v>
      </c>
      <c r="C5" s="39" t="s">
        <v>85</v>
      </c>
      <c r="D5" s="39">
        <v>59</v>
      </c>
      <c r="E5" s="39">
        <v>18</v>
      </c>
      <c r="F5" s="43"/>
      <c r="K5" s="39" t="s">
        <v>1759</v>
      </c>
      <c r="L5" s="39" t="s">
        <v>194</v>
      </c>
      <c r="M5" s="39" t="s">
        <v>197</v>
      </c>
    </row>
    <row r="6" spans="1:13" ht="18" x14ac:dyDescent="0.35">
      <c r="A6" s="39">
        <v>5</v>
      </c>
      <c r="B6" s="40" t="s">
        <v>91</v>
      </c>
      <c r="C6" s="39" t="s">
        <v>92</v>
      </c>
      <c r="D6" s="39">
        <v>47</v>
      </c>
      <c r="E6" s="39">
        <v>19</v>
      </c>
      <c r="F6" s="43"/>
      <c r="K6" s="39" t="s">
        <v>1760</v>
      </c>
      <c r="L6" s="39" t="s">
        <v>195</v>
      </c>
      <c r="M6" s="39" t="s">
        <v>197</v>
      </c>
    </row>
    <row r="7" spans="1:13" ht="18" x14ac:dyDescent="0.35">
      <c r="A7" s="39">
        <v>6</v>
      </c>
      <c r="B7" s="40" t="s">
        <v>93</v>
      </c>
      <c r="C7" s="39" t="s">
        <v>87</v>
      </c>
      <c r="D7" s="39">
        <v>42</v>
      </c>
      <c r="E7" s="39">
        <v>18</v>
      </c>
      <c r="F7" s="43"/>
    </row>
    <row r="8" spans="1:13" ht="18" x14ac:dyDescent="0.35">
      <c r="A8" s="39">
        <v>7</v>
      </c>
      <c r="B8" s="40" t="s">
        <v>94</v>
      </c>
      <c r="C8" s="39" t="s">
        <v>87</v>
      </c>
      <c r="D8" s="39">
        <v>73</v>
      </c>
      <c r="E8" s="39">
        <v>19</v>
      </c>
      <c r="F8" s="43"/>
    </row>
    <row r="9" spans="1:13" ht="18" x14ac:dyDescent="0.35">
      <c r="A9" s="39">
        <v>8</v>
      </c>
      <c r="B9" s="40" t="s">
        <v>95</v>
      </c>
      <c r="C9" s="39" t="s">
        <v>92</v>
      </c>
      <c r="D9" s="39">
        <v>76</v>
      </c>
      <c r="E9" s="39">
        <v>16</v>
      </c>
      <c r="F9" s="43"/>
    </row>
    <row r="10" spans="1:13" ht="18" x14ac:dyDescent="0.35">
      <c r="A10" s="39">
        <v>9</v>
      </c>
      <c r="B10" s="40" t="s">
        <v>96</v>
      </c>
      <c r="C10" s="39" t="s">
        <v>89</v>
      </c>
      <c r="D10" s="39">
        <v>53</v>
      </c>
      <c r="E10" s="39">
        <v>16</v>
      </c>
      <c r="F10" s="43"/>
    </row>
    <row r="11" spans="1:13" ht="18" x14ac:dyDescent="0.35">
      <c r="A11" s="39">
        <v>10</v>
      </c>
      <c r="B11" s="40" t="s">
        <v>97</v>
      </c>
      <c r="C11" s="39" t="s">
        <v>89</v>
      </c>
      <c r="D11" s="39">
        <v>70</v>
      </c>
      <c r="E11" s="39">
        <v>17</v>
      </c>
      <c r="F11" s="43"/>
    </row>
    <row r="12" spans="1:13" ht="18" x14ac:dyDescent="0.35">
      <c r="A12" s="39">
        <v>11</v>
      </c>
      <c r="B12" s="40" t="s">
        <v>98</v>
      </c>
      <c r="C12" s="39" t="s">
        <v>85</v>
      </c>
      <c r="D12" s="39">
        <v>66</v>
      </c>
      <c r="E12" s="39">
        <v>18</v>
      </c>
      <c r="F12" s="43"/>
    </row>
    <row r="13" spans="1:13" ht="18" x14ac:dyDescent="0.35">
      <c r="A13" s="39">
        <v>12</v>
      </c>
      <c r="B13" s="40" t="s">
        <v>99</v>
      </c>
      <c r="C13" s="39" t="s">
        <v>87</v>
      </c>
      <c r="D13" s="39">
        <v>79</v>
      </c>
      <c r="E13" s="39">
        <v>17</v>
      </c>
      <c r="F13" s="43"/>
    </row>
    <row r="14" spans="1:13" ht="18" x14ac:dyDescent="0.35">
      <c r="A14" s="39">
        <v>13</v>
      </c>
      <c r="B14" s="40" t="s">
        <v>100</v>
      </c>
      <c r="C14" s="39" t="s">
        <v>89</v>
      </c>
      <c r="D14" s="39">
        <v>67</v>
      </c>
      <c r="E14" s="39">
        <v>18</v>
      </c>
      <c r="F14" s="43"/>
    </row>
    <row r="15" spans="1:13" ht="18" x14ac:dyDescent="0.35">
      <c r="A15" s="39">
        <v>14</v>
      </c>
      <c r="B15" s="40" t="s">
        <v>101</v>
      </c>
      <c r="C15" s="39" t="s">
        <v>89</v>
      </c>
      <c r="D15" s="39">
        <v>79</v>
      </c>
      <c r="E15" s="39">
        <v>17</v>
      </c>
      <c r="F15" s="43"/>
    </row>
    <row r="16" spans="1:13" ht="18" x14ac:dyDescent="0.35">
      <c r="A16" s="39">
        <v>15</v>
      </c>
      <c r="B16" s="40" t="s">
        <v>102</v>
      </c>
      <c r="C16" s="39" t="s">
        <v>92</v>
      </c>
      <c r="D16" s="39">
        <v>44</v>
      </c>
      <c r="E16" s="39">
        <v>16</v>
      </c>
      <c r="F16" s="43"/>
    </row>
    <row r="17" spans="1:6" ht="18" x14ac:dyDescent="0.35">
      <c r="A17" s="39">
        <v>16</v>
      </c>
      <c r="B17" s="40" t="s">
        <v>103</v>
      </c>
      <c r="C17" s="39" t="s">
        <v>87</v>
      </c>
      <c r="D17" s="39">
        <v>52</v>
      </c>
      <c r="E17" s="39">
        <v>17</v>
      </c>
      <c r="F17" s="43"/>
    </row>
    <row r="18" spans="1:6" ht="18" x14ac:dyDescent="0.35">
      <c r="A18" s="39">
        <v>17</v>
      </c>
      <c r="B18" s="40" t="s">
        <v>104</v>
      </c>
      <c r="C18" s="39" t="s">
        <v>85</v>
      </c>
      <c r="D18" s="39">
        <v>79</v>
      </c>
      <c r="E18" s="39">
        <v>19</v>
      </c>
      <c r="F18" s="43"/>
    </row>
    <row r="19" spans="1:6" ht="18" x14ac:dyDescent="0.35">
      <c r="A19" s="39">
        <v>18</v>
      </c>
      <c r="B19" s="40" t="s">
        <v>105</v>
      </c>
      <c r="C19" s="39" t="s">
        <v>89</v>
      </c>
      <c r="D19" s="39">
        <v>62</v>
      </c>
      <c r="E19" s="39">
        <v>16</v>
      </c>
      <c r="F19" s="43"/>
    </row>
    <row r="20" spans="1:6" ht="18" x14ac:dyDescent="0.35">
      <c r="A20" s="39">
        <v>19</v>
      </c>
      <c r="B20" s="40" t="s">
        <v>106</v>
      </c>
      <c r="C20" s="39" t="s">
        <v>87</v>
      </c>
      <c r="D20" s="39">
        <v>56</v>
      </c>
      <c r="E20" s="39">
        <v>19</v>
      </c>
      <c r="F20" s="43"/>
    </row>
    <row r="21" spans="1:6" ht="18" x14ac:dyDescent="0.35">
      <c r="A21" s="39">
        <v>20</v>
      </c>
      <c r="B21" s="40" t="s">
        <v>107</v>
      </c>
      <c r="C21" s="39" t="s">
        <v>89</v>
      </c>
      <c r="D21" s="39">
        <v>46</v>
      </c>
      <c r="E21" s="39">
        <v>18</v>
      </c>
      <c r="F21" s="43"/>
    </row>
    <row r="22" spans="1:6" ht="18" x14ac:dyDescent="0.35">
      <c r="A22" s="39">
        <v>21</v>
      </c>
      <c r="B22" s="40" t="s">
        <v>108</v>
      </c>
      <c r="C22" s="39" t="s">
        <v>89</v>
      </c>
      <c r="D22" s="39">
        <v>88</v>
      </c>
      <c r="E22" s="39">
        <v>16</v>
      </c>
      <c r="F22" s="43"/>
    </row>
    <row r="23" spans="1:6" ht="18" x14ac:dyDescent="0.35">
      <c r="A23" s="39">
        <v>22</v>
      </c>
      <c r="B23" s="40" t="s">
        <v>109</v>
      </c>
      <c r="C23" s="39" t="s">
        <v>89</v>
      </c>
      <c r="D23" s="39">
        <v>78</v>
      </c>
      <c r="E23" s="39">
        <v>17</v>
      </c>
      <c r="F23" s="43"/>
    </row>
    <row r="24" spans="1:6" ht="18" x14ac:dyDescent="0.35">
      <c r="A24" s="39">
        <v>23</v>
      </c>
      <c r="B24" s="40" t="s">
        <v>110</v>
      </c>
      <c r="C24" s="39" t="s">
        <v>85</v>
      </c>
      <c r="D24" s="39">
        <v>61</v>
      </c>
      <c r="E24" s="39">
        <v>18</v>
      </c>
      <c r="F24" s="43"/>
    </row>
    <row r="25" spans="1:6" ht="18" x14ac:dyDescent="0.35">
      <c r="A25" s="39">
        <v>24</v>
      </c>
      <c r="B25" s="40" t="s">
        <v>111</v>
      </c>
      <c r="C25" s="39" t="s">
        <v>89</v>
      </c>
      <c r="D25" s="39">
        <v>46</v>
      </c>
      <c r="E25" s="39">
        <v>18</v>
      </c>
      <c r="F25" s="43"/>
    </row>
    <row r="26" spans="1:6" ht="18" x14ac:dyDescent="0.35">
      <c r="A26" s="39">
        <v>25</v>
      </c>
      <c r="B26" s="40" t="s">
        <v>112</v>
      </c>
      <c r="C26" s="39" t="s">
        <v>85</v>
      </c>
      <c r="D26" s="39">
        <v>60</v>
      </c>
      <c r="E26" s="39">
        <v>16</v>
      </c>
      <c r="F26" s="43"/>
    </row>
    <row r="27" spans="1:6" ht="18" x14ac:dyDescent="0.35">
      <c r="A27" s="39">
        <v>26</v>
      </c>
      <c r="B27" s="40" t="s">
        <v>113</v>
      </c>
      <c r="C27" s="39" t="s">
        <v>92</v>
      </c>
      <c r="D27" s="39">
        <v>31</v>
      </c>
      <c r="E27" s="39">
        <v>16</v>
      </c>
      <c r="F27" s="43"/>
    </row>
    <row r="28" spans="1:6" ht="18" x14ac:dyDescent="0.35">
      <c r="A28" s="39">
        <v>27</v>
      </c>
      <c r="B28" s="40" t="s">
        <v>114</v>
      </c>
      <c r="C28" s="39" t="s">
        <v>85</v>
      </c>
      <c r="D28" s="39">
        <v>61</v>
      </c>
      <c r="E28" s="39">
        <v>18</v>
      </c>
      <c r="F28" s="43"/>
    </row>
    <row r="29" spans="1:6" ht="18" x14ac:dyDescent="0.35">
      <c r="A29" s="39">
        <v>28</v>
      </c>
      <c r="B29" s="40" t="s">
        <v>115</v>
      </c>
      <c r="C29" s="39" t="s">
        <v>89</v>
      </c>
      <c r="D29" s="39">
        <v>46</v>
      </c>
      <c r="E29" s="39">
        <v>16</v>
      </c>
      <c r="F29" s="43"/>
    </row>
    <row r="30" spans="1:6" ht="18" x14ac:dyDescent="0.35">
      <c r="A30" s="39">
        <v>29</v>
      </c>
      <c r="B30" s="40" t="s">
        <v>116</v>
      </c>
      <c r="C30" s="39" t="s">
        <v>87</v>
      </c>
      <c r="D30" s="39">
        <v>92</v>
      </c>
      <c r="E30" s="39">
        <v>19</v>
      </c>
      <c r="F30" s="43"/>
    </row>
    <row r="31" spans="1:6" ht="18" x14ac:dyDescent="0.35">
      <c r="A31" s="39">
        <v>30</v>
      </c>
      <c r="B31" s="40" t="s">
        <v>117</v>
      </c>
      <c r="C31" s="39" t="s">
        <v>92</v>
      </c>
      <c r="D31" s="39">
        <v>92</v>
      </c>
      <c r="E31" s="39">
        <v>19</v>
      </c>
      <c r="F31" s="43"/>
    </row>
    <row r="32" spans="1:6" ht="18" x14ac:dyDescent="0.35">
      <c r="A32" s="39">
        <v>31</v>
      </c>
      <c r="B32" s="40" t="s">
        <v>118</v>
      </c>
      <c r="C32" s="39" t="s">
        <v>87</v>
      </c>
      <c r="D32" s="39">
        <v>87</v>
      </c>
      <c r="E32" s="39">
        <v>19</v>
      </c>
      <c r="F32" s="43"/>
    </row>
    <row r="33" spans="1:6" ht="18" x14ac:dyDescent="0.35">
      <c r="A33" s="39">
        <v>32</v>
      </c>
      <c r="B33" s="40" t="s">
        <v>119</v>
      </c>
      <c r="C33" s="39" t="s">
        <v>92</v>
      </c>
      <c r="D33" s="39">
        <v>81</v>
      </c>
      <c r="E33" s="39">
        <v>18</v>
      </c>
      <c r="F33" s="43"/>
    </row>
    <row r="34" spans="1:6" ht="18" x14ac:dyDescent="0.35">
      <c r="A34" s="39">
        <v>33</v>
      </c>
      <c r="B34" s="40" t="s">
        <v>120</v>
      </c>
      <c r="C34" s="39" t="s">
        <v>89</v>
      </c>
      <c r="D34" s="39">
        <v>65</v>
      </c>
      <c r="E34" s="39">
        <v>17</v>
      </c>
      <c r="F34" s="43"/>
    </row>
    <row r="35" spans="1:6" ht="18" x14ac:dyDescent="0.35">
      <c r="A35" s="39">
        <v>34</v>
      </c>
      <c r="B35" s="40" t="s">
        <v>121</v>
      </c>
      <c r="C35" s="39" t="s">
        <v>85</v>
      </c>
      <c r="D35" s="39">
        <v>59</v>
      </c>
      <c r="E35" s="39">
        <v>17</v>
      </c>
      <c r="F35" s="43"/>
    </row>
    <row r="36" spans="1:6" ht="18" x14ac:dyDescent="0.35">
      <c r="A36" s="39">
        <v>35</v>
      </c>
      <c r="B36" s="40" t="s">
        <v>122</v>
      </c>
      <c r="C36" s="39" t="s">
        <v>87</v>
      </c>
      <c r="D36" s="39">
        <v>43</v>
      </c>
      <c r="E36" s="39">
        <v>16</v>
      </c>
      <c r="F36" s="43"/>
    </row>
    <row r="37" spans="1:6" ht="18" x14ac:dyDescent="0.35">
      <c r="A37" s="39">
        <v>36</v>
      </c>
      <c r="B37" s="40" t="s">
        <v>123</v>
      </c>
      <c r="C37" s="39" t="s">
        <v>92</v>
      </c>
      <c r="D37" s="39">
        <v>55</v>
      </c>
      <c r="E37" s="39">
        <v>19</v>
      </c>
      <c r="F37" s="43"/>
    </row>
    <row r="38" spans="1:6" ht="18" x14ac:dyDescent="0.35">
      <c r="A38" s="39">
        <v>37</v>
      </c>
      <c r="B38" s="40" t="s">
        <v>124</v>
      </c>
      <c r="C38" s="39" t="s">
        <v>92</v>
      </c>
      <c r="D38" s="39">
        <v>89</v>
      </c>
      <c r="E38" s="39">
        <v>16</v>
      </c>
      <c r="F38" s="43"/>
    </row>
    <row r="39" spans="1:6" ht="18" x14ac:dyDescent="0.35">
      <c r="A39" s="39">
        <v>38</v>
      </c>
      <c r="B39" s="40" t="s">
        <v>125</v>
      </c>
      <c r="C39" s="39" t="s">
        <v>89</v>
      </c>
      <c r="D39" s="39">
        <v>53</v>
      </c>
      <c r="E39" s="39">
        <v>19</v>
      </c>
      <c r="F39" s="43"/>
    </row>
    <row r="40" spans="1:6" ht="18" x14ac:dyDescent="0.35">
      <c r="A40" s="39">
        <v>39</v>
      </c>
      <c r="B40" s="40" t="s">
        <v>126</v>
      </c>
      <c r="C40" s="39" t="s">
        <v>87</v>
      </c>
      <c r="D40" s="39">
        <v>42</v>
      </c>
      <c r="E40" s="39">
        <v>16</v>
      </c>
      <c r="F40" s="43"/>
    </row>
    <row r="41" spans="1:6" ht="18" x14ac:dyDescent="0.35">
      <c r="A41" s="39">
        <v>40</v>
      </c>
      <c r="B41" s="40" t="s">
        <v>127</v>
      </c>
      <c r="C41" s="39" t="s">
        <v>92</v>
      </c>
      <c r="D41" s="39">
        <v>33</v>
      </c>
      <c r="E41" s="39">
        <v>18</v>
      </c>
      <c r="F41" s="43"/>
    </row>
    <row r="42" spans="1:6" ht="18" x14ac:dyDescent="0.35">
      <c r="A42" s="39">
        <v>41</v>
      </c>
      <c r="B42" s="40" t="s">
        <v>128</v>
      </c>
      <c r="C42" s="39" t="s">
        <v>89</v>
      </c>
      <c r="D42" s="39">
        <v>54</v>
      </c>
      <c r="E42" s="39">
        <v>16</v>
      </c>
      <c r="F42" s="43"/>
    </row>
    <row r="43" spans="1:6" ht="18" x14ac:dyDescent="0.35">
      <c r="A43" s="39">
        <v>42</v>
      </c>
      <c r="B43" s="40" t="s">
        <v>129</v>
      </c>
      <c r="C43" s="39" t="s">
        <v>85</v>
      </c>
      <c r="D43" s="39">
        <v>68</v>
      </c>
      <c r="E43" s="39">
        <v>19</v>
      </c>
      <c r="F43" s="43"/>
    </row>
    <row r="44" spans="1:6" ht="18" x14ac:dyDescent="0.35">
      <c r="A44" s="39">
        <v>43</v>
      </c>
      <c r="B44" s="40" t="s">
        <v>130</v>
      </c>
      <c r="C44" s="39" t="s">
        <v>85</v>
      </c>
      <c r="D44" s="39">
        <v>67</v>
      </c>
      <c r="E44" s="39">
        <v>19</v>
      </c>
      <c r="F44" s="43"/>
    </row>
    <row r="45" spans="1:6" ht="18" x14ac:dyDescent="0.35">
      <c r="A45" s="39">
        <v>44</v>
      </c>
      <c r="B45" s="40" t="s">
        <v>131</v>
      </c>
      <c r="C45" s="39" t="s">
        <v>89</v>
      </c>
      <c r="D45" s="39">
        <v>32</v>
      </c>
      <c r="E45" s="39">
        <v>19</v>
      </c>
      <c r="F45" s="43"/>
    </row>
    <row r="46" spans="1:6" ht="18" x14ac:dyDescent="0.35">
      <c r="A46" s="39">
        <v>45</v>
      </c>
      <c r="B46" s="40" t="s">
        <v>132</v>
      </c>
      <c r="C46" s="39" t="s">
        <v>87</v>
      </c>
      <c r="D46" s="39">
        <v>61</v>
      </c>
      <c r="E46" s="39">
        <v>17</v>
      </c>
      <c r="F46" s="43"/>
    </row>
    <row r="47" spans="1:6" ht="18" x14ac:dyDescent="0.35">
      <c r="A47" s="39">
        <v>46</v>
      </c>
      <c r="B47" s="40" t="s">
        <v>133</v>
      </c>
      <c r="C47" s="39" t="s">
        <v>85</v>
      </c>
      <c r="D47" s="39">
        <v>30</v>
      </c>
      <c r="E47" s="39">
        <v>19</v>
      </c>
      <c r="F47" s="43"/>
    </row>
    <row r="48" spans="1:6" ht="18" x14ac:dyDescent="0.35">
      <c r="A48" s="39">
        <v>47</v>
      </c>
      <c r="B48" s="40" t="s">
        <v>134</v>
      </c>
      <c r="C48" s="39" t="s">
        <v>85</v>
      </c>
      <c r="D48" s="39">
        <v>76</v>
      </c>
      <c r="E48" s="39">
        <v>16</v>
      </c>
      <c r="F48" s="43"/>
    </row>
    <row r="49" spans="1:6" ht="18" x14ac:dyDescent="0.35">
      <c r="A49" s="39">
        <v>48</v>
      </c>
      <c r="B49" s="40" t="s">
        <v>135</v>
      </c>
      <c r="C49" s="39" t="s">
        <v>87</v>
      </c>
      <c r="D49" s="39">
        <v>52</v>
      </c>
      <c r="E49" s="39">
        <v>17</v>
      </c>
      <c r="F49" s="43"/>
    </row>
    <row r="50" spans="1:6" ht="18" x14ac:dyDescent="0.35">
      <c r="A50" s="39">
        <v>49</v>
      </c>
      <c r="B50" s="40" t="s">
        <v>136</v>
      </c>
      <c r="C50" s="39" t="s">
        <v>89</v>
      </c>
      <c r="D50" s="39">
        <v>30</v>
      </c>
      <c r="E50" s="39">
        <v>18</v>
      </c>
      <c r="F50" s="43"/>
    </row>
    <row r="51" spans="1:6" ht="18" x14ac:dyDescent="0.35">
      <c r="A51" s="39">
        <v>50</v>
      </c>
      <c r="B51" s="40" t="s">
        <v>137</v>
      </c>
      <c r="C51" s="39" t="s">
        <v>89</v>
      </c>
      <c r="D51" s="39">
        <v>69</v>
      </c>
      <c r="E51" s="39">
        <v>18</v>
      </c>
      <c r="F51" s="43"/>
    </row>
    <row r="52" spans="1:6" ht="18" x14ac:dyDescent="0.35">
      <c r="A52" s="39">
        <v>51</v>
      </c>
      <c r="B52" s="40" t="s">
        <v>138</v>
      </c>
      <c r="C52" s="39" t="s">
        <v>92</v>
      </c>
      <c r="D52" s="39">
        <v>81</v>
      </c>
      <c r="E52" s="39">
        <v>19</v>
      </c>
      <c r="F52" s="43"/>
    </row>
    <row r="53" spans="1:6" ht="18" x14ac:dyDescent="0.35">
      <c r="A53" s="39">
        <v>52</v>
      </c>
      <c r="B53" s="40" t="s">
        <v>139</v>
      </c>
      <c r="C53" s="39" t="s">
        <v>87</v>
      </c>
      <c r="D53" s="39">
        <v>72</v>
      </c>
      <c r="E53" s="39">
        <v>19</v>
      </c>
      <c r="F53" s="43"/>
    </row>
    <row r="54" spans="1:6" ht="18" x14ac:dyDescent="0.35">
      <c r="A54" s="39">
        <v>53</v>
      </c>
      <c r="B54" s="40" t="s">
        <v>140</v>
      </c>
      <c r="C54" s="39" t="s">
        <v>87</v>
      </c>
      <c r="D54" s="39">
        <v>43</v>
      </c>
      <c r="E54" s="39">
        <v>16</v>
      </c>
      <c r="F54" s="43"/>
    </row>
    <row r="55" spans="1:6" ht="18" x14ac:dyDescent="0.35">
      <c r="A55" s="39">
        <v>54</v>
      </c>
      <c r="B55" s="40" t="s">
        <v>141</v>
      </c>
      <c r="C55" s="39" t="s">
        <v>92</v>
      </c>
      <c r="D55" s="39">
        <v>91</v>
      </c>
      <c r="E55" s="39">
        <v>16</v>
      </c>
      <c r="F55" s="43"/>
    </row>
    <row r="56" spans="1:6" ht="18" x14ac:dyDescent="0.35">
      <c r="A56" s="39">
        <v>55</v>
      </c>
      <c r="B56" s="40" t="s">
        <v>142</v>
      </c>
      <c r="C56" s="39" t="s">
        <v>85</v>
      </c>
      <c r="D56" s="39">
        <v>48</v>
      </c>
      <c r="E56" s="39">
        <v>16</v>
      </c>
      <c r="F56" s="43"/>
    </row>
    <row r="57" spans="1:6" ht="18" x14ac:dyDescent="0.35">
      <c r="A57" s="39">
        <v>56</v>
      </c>
      <c r="B57" s="40" t="s">
        <v>143</v>
      </c>
      <c r="C57" s="39" t="s">
        <v>92</v>
      </c>
      <c r="D57" s="39">
        <v>51</v>
      </c>
      <c r="E57" s="39">
        <v>19</v>
      </c>
      <c r="F57" s="43"/>
    </row>
    <row r="58" spans="1:6" ht="18" x14ac:dyDescent="0.35">
      <c r="A58" s="39">
        <v>57</v>
      </c>
      <c r="B58" s="40" t="s">
        <v>144</v>
      </c>
      <c r="C58" s="39" t="s">
        <v>92</v>
      </c>
      <c r="D58" s="39">
        <v>91</v>
      </c>
      <c r="E58" s="39">
        <v>17</v>
      </c>
      <c r="F58" s="43"/>
    </row>
    <row r="59" spans="1:6" ht="18" x14ac:dyDescent="0.35">
      <c r="A59" s="39">
        <v>58</v>
      </c>
      <c r="B59" s="40" t="s">
        <v>145</v>
      </c>
      <c r="C59" s="39" t="s">
        <v>89</v>
      </c>
      <c r="D59" s="39">
        <v>31</v>
      </c>
      <c r="E59" s="39">
        <v>16</v>
      </c>
      <c r="F59" s="43"/>
    </row>
    <row r="60" spans="1:6" ht="18" x14ac:dyDescent="0.35">
      <c r="A60" s="39">
        <v>59</v>
      </c>
      <c r="B60" s="40" t="s">
        <v>146</v>
      </c>
      <c r="C60" s="39" t="s">
        <v>92</v>
      </c>
      <c r="D60" s="39">
        <v>55</v>
      </c>
      <c r="E60" s="39">
        <v>18</v>
      </c>
      <c r="F60" s="43"/>
    </row>
    <row r="61" spans="1:6" ht="18" x14ac:dyDescent="0.35">
      <c r="A61" s="39">
        <v>60</v>
      </c>
      <c r="B61" s="40" t="s">
        <v>147</v>
      </c>
      <c r="C61" s="39" t="s">
        <v>85</v>
      </c>
      <c r="D61" s="39">
        <v>84</v>
      </c>
      <c r="E61" s="39">
        <v>18</v>
      </c>
      <c r="F61" s="43"/>
    </row>
    <row r="62" spans="1:6" ht="18" x14ac:dyDescent="0.35">
      <c r="A62" s="39">
        <v>61</v>
      </c>
      <c r="B62" s="40" t="s">
        <v>148</v>
      </c>
      <c r="C62" s="39" t="s">
        <v>92</v>
      </c>
      <c r="D62" s="39">
        <v>32</v>
      </c>
      <c r="E62" s="39">
        <v>17</v>
      </c>
      <c r="F62" s="43"/>
    </row>
    <row r="63" spans="1:6" ht="18" x14ac:dyDescent="0.35">
      <c r="A63" s="39">
        <v>62</v>
      </c>
      <c r="B63" s="40" t="s">
        <v>149</v>
      </c>
      <c r="C63" s="39" t="s">
        <v>92</v>
      </c>
      <c r="D63" s="39">
        <v>55</v>
      </c>
      <c r="E63" s="39">
        <v>18</v>
      </c>
      <c r="F63" s="43"/>
    </row>
    <row r="64" spans="1:6" ht="18" x14ac:dyDescent="0.35">
      <c r="A64" s="39">
        <v>63</v>
      </c>
      <c r="B64" s="40" t="s">
        <v>150</v>
      </c>
      <c r="C64" s="39" t="s">
        <v>87</v>
      </c>
      <c r="D64" s="39">
        <v>81</v>
      </c>
      <c r="E64" s="39">
        <v>17</v>
      </c>
      <c r="F64" s="43"/>
    </row>
    <row r="65" spans="1:6" ht="18" x14ac:dyDescent="0.35">
      <c r="A65" s="39">
        <v>64</v>
      </c>
      <c r="B65" s="40" t="s">
        <v>151</v>
      </c>
      <c r="C65" s="39" t="s">
        <v>89</v>
      </c>
      <c r="D65" s="39">
        <v>42</v>
      </c>
      <c r="E65" s="39">
        <v>16</v>
      </c>
      <c r="F65" s="43"/>
    </row>
    <row r="66" spans="1:6" ht="18" x14ac:dyDescent="0.35">
      <c r="A66" s="39">
        <v>65</v>
      </c>
      <c r="B66" s="40" t="s">
        <v>152</v>
      </c>
      <c r="C66" s="39" t="s">
        <v>85</v>
      </c>
      <c r="D66" s="39">
        <v>63</v>
      </c>
      <c r="E66" s="39">
        <v>19</v>
      </c>
      <c r="F66" s="43"/>
    </row>
    <row r="67" spans="1:6" ht="18" x14ac:dyDescent="0.35">
      <c r="A67" s="39">
        <v>66</v>
      </c>
      <c r="B67" s="40" t="s">
        <v>153</v>
      </c>
      <c r="C67" s="39" t="s">
        <v>85</v>
      </c>
      <c r="D67" s="39">
        <v>64</v>
      </c>
      <c r="E67" s="39">
        <v>18</v>
      </c>
      <c r="F67" s="43"/>
    </row>
    <row r="68" spans="1:6" ht="18" x14ac:dyDescent="0.35">
      <c r="A68" s="39">
        <v>67</v>
      </c>
      <c r="B68" s="40" t="s">
        <v>154</v>
      </c>
      <c r="C68" s="39" t="s">
        <v>89</v>
      </c>
      <c r="D68" s="39">
        <v>66</v>
      </c>
      <c r="E68" s="39">
        <v>19</v>
      </c>
      <c r="F68" s="43"/>
    </row>
    <row r="69" spans="1:6" ht="18" x14ac:dyDescent="0.35">
      <c r="A69" s="39">
        <v>68</v>
      </c>
      <c r="B69" s="40" t="s">
        <v>155</v>
      </c>
      <c r="C69" s="39" t="s">
        <v>85</v>
      </c>
      <c r="D69" s="39">
        <v>45</v>
      </c>
      <c r="E69" s="39">
        <v>16</v>
      </c>
      <c r="F69" s="43"/>
    </row>
    <row r="70" spans="1:6" ht="18" x14ac:dyDescent="0.35">
      <c r="A70" s="39">
        <v>69</v>
      </c>
      <c r="B70" s="40" t="s">
        <v>156</v>
      </c>
      <c r="C70" s="39" t="s">
        <v>87</v>
      </c>
      <c r="D70" s="39">
        <v>67</v>
      </c>
      <c r="E70" s="39">
        <v>16</v>
      </c>
      <c r="F70" s="43"/>
    </row>
    <row r="71" spans="1:6" ht="18" x14ac:dyDescent="0.35">
      <c r="A71" s="39">
        <v>70</v>
      </c>
      <c r="B71" s="40" t="s">
        <v>157</v>
      </c>
      <c r="C71" s="39" t="s">
        <v>89</v>
      </c>
      <c r="D71" s="39">
        <v>52</v>
      </c>
      <c r="E71" s="39">
        <v>18</v>
      </c>
      <c r="F71" s="43"/>
    </row>
    <row r="72" spans="1:6" ht="18" x14ac:dyDescent="0.35">
      <c r="A72" s="39">
        <v>71</v>
      </c>
      <c r="B72" s="40" t="s">
        <v>158</v>
      </c>
      <c r="C72" s="39" t="s">
        <v>89</v>
      </c>
      <c r="D72" s="39">
        <v>52</v>
      </c>
      <c r="E72" s="39">
        <v>18</v>
      </c>
      <c r="F72" s="43"/>
    </row>
    <row r="73" spans="1:6" ht="18" x14ac:dyDescent="0.35">
      <c r="A73" s="39">
        <v>72</v>
      </c>
      <c r="B73" s="40" t="s">
        <v>159</v>
      </c>
      <c r="C73" s="39" t="s">
        <v>92</v>
      </c>
      <c r="D73" s="39">
        <v>48</v>
      </c>
      <c r="E73" s="39">
        <v>19</v>
      </c>
      <c r="F73" s="43"/>
    </row>
    <row r="74" spans="1:6" ht="18" x14ac:dyDescent="0.35">
      <c r="A74" s="39">
        <v>73</v>
      </c>
      <c r="B74" s="40" t="s">
        <v>160</v>
      </c>
      <c r="C74" s="39" t="s">
        <v>87</v>
      </c>
      <c r="D74" s="39">
        <v>70</v>
      </c>
      <c r="E74" s="39">
        <v>16</v>
      </c>
      <c r="F74" s="43"/>
    </row>
    <row r="75" spans="1:6" ht="18" x14ac:dyDescent="0.35">
      <c r="A75" s="39">
        <v>74</v>
      </c>
      <c r="B75" s="40" t="s">
        <v>161</v>
      </c>
      <c r="C75" s="39" t="s">
        <v>92</v>
      </c>
      <c r="D75" s="39">
        <v>84</v>
      </c>
      <c r="E75" s="39">
        <v>16</v>
      </c>
      <c r="F75" s="43"/>
    </row>
    <row r="76" spans="1:6" ht="18" x14ac:dyDescent="0.35">
      <c r="A76" s="39">
        <v>75</v>
      </c>
      <c r="B76" s="40" t="s">
        <v>162</v>
      </c>
      <c r="C76" s="39" t="s">
        <v>87</v>
      </c>
      <c r="D76" s="39">
        <v>60</v>
      </c>
      <c r="E76" s="39">
        <v>19</v>
      </c>
      <c r="F76" s="43"/>
    </row>
    <row r="77" spans="1:6" ht="18" x14ac:dyDescent="0.35">
      <c r="A77" s="39">
        <v>76</v>
      </c>
      <c r="B77" s="40" t="s">
        <v>163</v>
      </c>
      <c r="C77" s="39" t="s">
        <v>85</v>
      </c>
      <c r="D77" s="39">
        <v>55</v>
      </c>
      <c r="E77" s="39">
        <v>17</v>
      </c>
      <c r="F77" s="43"/>
    </row>
    <row r="78" spans="1:6" ht="18" x14ac:dyDescent="0.35">
      <c r="A78" s="39">
        <v>77</v>
      </c>
      <c r="B78" s="40" t="s">
        <v>164</v>
      </c>
      <c r="C78" s="39" t="s">
        <v>89</v>
      </c>
      <c r="D78" s="39">
        <v>32</v>
      </c>
      <c r="E78" s="39">
        <v>19</v>
      </c>
      <c r="F78" s="43"/>
    </row>
    <row r="79" spans="1:6" ht="18" x14ac:dyDescent="0.35">
      <c r="A79" s="39">
        <v>78</v>
      </c>
      <c r="B79" s="40" t="s">
        <v>165</v>
      </c>
      <c r="C79" s="39" t="s">
        <v>92</v>
      </c>
      <c r="D79" s="39">
        <v>75</v>
      </c>
      <c r="E79" s="39">
        <v>16</v>
      </c>
      <c r="F79" s="43"/>
    </row>
    <row r="80" spans="1:6" ht="18" x14ac:dyDescent="0.35">
      <c r="A80" s="39">
        <v>79</v>
      </c>
      <c r="B80" s="40" t="s">
        <v>166</v>
      </c>
      <c r="C80" s="39" t="s">
        <v>89</v>
      </c>
      <c r="D80" s="39">
        <v>73</v>
      </c>
      <c r="E80" s="39">
        <v>17</v>
      </c>
      <c r="F80" s="43"/>
    </row>
    <row r="81" spans="1:6" ht="18" x14ac:dyDescent="0.35">
      <c r="A81" s="39">
        <v>80</v>
      </c>
      <c r="B81" s="40" t="s">
        <v>167</v>
      </c>
      <c r="C81" s="39" t="s">
        <v>92</v>
      </c>
      <c r="D81" s="39">
        <v>75</v>
      </c>
      <c r="E81" s="39">
        <v>18</v>
      </c>
      <c r="F81" s="43"/>
    </row>
    <row r="82" spans="1:6" ht="18" x14ac:dyDescent="0.35">
      <c r="A82" s="39">
        <v>81</v>
      </c>
      <c r="B82" s="40" t="s">
        <v>168</v>
      </c>
      <c r="C82" s="39" t="s">
        <v>92</v>
      </c>
      <c r="D82" s="39">
        <v>59</v>
      </c>
      <c r="E82" s="39">
        <v>16</v>
      </c>
      <c r="F82" s="43"/>
    </row>
    <row r="83" spans="1:6" ht="18" x14ac:dyDescent="0.35">
      <c r="A83" s="39">
        <v>82</v>
      </c>
      <c r="B83" s="40" t="s">
        <v>169</v>
      </c>
      <c r="C83" s="39" t="s">
        <v>92</v>
      </c>
      <c r="D83" s="39">
        <v>85</v>
      </c>
      <c r="E83" s="39">
        <v>17</v>
      </c>
      <c r="F83" s="43"/>
    </row>
    <row r="84" spans="1:6" ht="18" x14ac:dyDescent="0.35">
      <c r="A84" s="39">
        <v>83</v>
      </c>
      <c r="B84" s="40" t="s">
        <v>170</v>
      </c>
      <c r="C84" s="39" t="s">
        <v>89</v>
      </c>
      <c r="D84" s="39">
        <v>81</v>
      </c>
      <c r="E84" s="39">
        <v>16</v>
      </c>
      <c r="F84" s="43"/>
    </row>
    <row r="85" spans="1:6" ht="18" x14ac:dyDescent="0.35">
      <c r="A85" s="39">
        <v>84</v>
      </c>
      <c r="B85" s="40" t="s">
        <v>171</v>
      </c>
      <c r="C85" s="39" t="s">
        <v>92</v>
      </c>
      <c r="D85" s="39">
        <v>65</v>
      </c>
      <c r="E85" s="39">
        <v>16</v>
      </c>
      <c r="F85" s="43"/>
    </row>
    <row r="86" spans="1:6" ht="18" x14ac:dyDescent="0.35">
      <c r="A86" s="39">
        <v>85</v>
      </c>
      <c r="B86" s="40" t="s">
        <v>172</v>
      </c>
      <c r="C86" s="39" t="s">
        <v>92</v>
      </c>
      <c r="D86" s="39">
        <v>70</v>
      </c>
      <c r="E86" s="39">
        <v>18</v>
      </c>
      <c r="F86" s="43"/>
    </row>
    <row r="87" spans="1:6" ht="18" x14ac:dyDescent="0.35">
      <c r="A87" s="39">
        <v>86</v>
      </c>
      <c r="B87" s="40" t="s">
        <v>173</v>
      </c>
      <c r="C87" s="39" t="s">
        <v>89</v>
      </c>
      <c r="D87" s="39">
        <v>59</v>
      </c>
      <c r="E87" s="39">
        <v>18</v>
      </c>
      <c r="F87" s="43"/>
    </row>
    <row r="88" spans="1:6" ht="18" x14ac:dyDescent="0.35">
      <c r="A88" s="39">
        <v>87</v>
      </c>
      <c r="B88" s="40" t="s">
        <v>174</v>
      </c>
      <c r="C88" s="39" t="s">
        <v>85</v>
      </c>
      <c r="D88" s="39">
        <v>62</v>
      </c>
      <c r="E88" s="39">
        <v>19</v>
      </c>
      <c r="F88" s="43"/>
    </row>
    <row r="89" spans="1:6" ht="18" x14ac:dyDescent="0.35">
      <c r="A89" s="39">
        <v>88</v>
      </c>
      <c r="B89" s="40" t="s">
        <v>175</v>
      </c>
      <c r="C89" s="39" t="s">
        <v>92</v>
      </c>
      <c r="D89" s="39">
        <v>71</v>
      </c>
      <c r="E89" s="39">
        <v>16</v>
      </c>
      <c r="F89" s="43"/>
    </row>
    <row r="90" spans="1:6" ht="18" x14ac:dyDescent="0.35">
      <c r="A90" s="39">
        <v>89</v>
      </c>
      <c r="B90" s="40" t="s">
        <v>176</v>
      </c>
      <c r="C90" s="39" t="s">
        <v>89</v>
      </c>
      <c r="D90" s="39">
        <v>88</v>
      </c>
      <c r="E90" s="39">
        <v>19</v>
      </c>
      <c r="F90" s="43"/>
    </row>
    <row r="91" spans="1:6" ht="18" x14ac:dyDescent="0.35">
      <c r="A91" s="39">
        <v>90</v>
      </c>
      <c r="B91" s="40" t="s">
        <v>177</v>
      </c>
      <c r="C91" s="39" t="s">
        <v>85</v>
      </c>
      <c r="D91" s="39">
        <v>43</v>
      </c>
      <c r="E91" s="39">
        <v>16</v>
      </c>
      <c r="F91" s="43"/>
    </row>
    <row r="92" spans="1:6" ht="18" x14ac:dyDescent="0.35">
      <c r="A92" s="39">
        <v>91</v>
      </c>
      <c r="B92" s="40" t="s">
        <v>178</v>
      </c>
      <c r="C92" s="39" t="s">
        <v>92</v>
      </c>
      <c r="D92" s="39">
        <v>38</v>
      </c>
      <c r="E92" s="39">
        <v>19</v>
      </c>
      <c r="F92" s="43"/>
    </row>
    <row r="93" spans="1:6" ht="18" x14ac:dyDescent="0.35">
      <c r="A93" s="39">
        <v>92</v>
      </c>
      <c r="B93" s="40" t="s">
        <v>179</v>
      </c>
      <c r="C93" s="39" t="s">
        <v>87</v>
      </c>
      <c r="D93" s="39">
        <v>67</v>
      </c>
      <c r="E93" s="39">
        <v>17</v>
      </c>
      <c r="F93" s="43"/>
    </row>
    <row r="94" spans="1:6" ht="18" x14ac:dyDescent="0.35">
      <c r="A94" s="39">
        <v>93</v>
      </c>
      <c r="B94" s="40" t="s">
        <v>180</v>
      </c>
      <c r="C94" s="39" t="s">
        <v>87</v>
      </c>
      <c r="D94" s="39">
        <v>49</v>
      </c>
      <c r="E94" s="39">
        <v>18</v>
      </c>
      <c r="F94" s="43"/>
    </row>
    <row r="95" spans="1:6" ht="18" x14ac:dyDescent="0.35">
      <c r="A95" s="39">
        <v>94</v>
      </c>
      <c r="B95" s="40" t="s">
        <v>181</v>
      </c>
      <c r="C95" s="39" t="s">
        <v>87</v>
      </c>
      <c r="D95" s="39">
        <v>62</v>
      </c>
      <c r="E95" s="39">
        <v>19</v>
      </c>
      <c r="F95" s="43"/>
    </row>
    <row r="96" spans="1:6" ht="18" x14ac:dyDescent="0.35">
      <c r="A96" s="39">
        <v>95</v>
      </c>
      <c r="B96" s="40" t="s">
        <v>182</v>
      </c>
      <c r="C96" s="39" t="s">
        <v>87</v>
      </c>
      <c r="D96" s="39">
        <v>55</v>
      </c>
      <c r="E96" s="39">
        <v>16</v>
      </c>
      <c r="F96" s="43"/>
    </row>
    <row r="97" spans="1:6" ht="18" x14ac:dyDescent="0.35">
      <c r="A97" s="39">
        <v>96</v>
      </c>
      <c r="B97" s="40" t="s">
        <v>183</v>
      </c>
      <c r="C97" s="39" t="s">
        <v>89</v>
      </c>
      <c r="D97" s="39">
        <v>92</v>
      </c>
      <c r="E97" s="39">
        <v>18</v>
      </c>
      <c r="F97" s="43"/>
    </row>
    <row r="98" spans="1:6" ht="18" x14ac:dyDescent="0.35">
      <c r="A98" s="39">
        <v>97</v>
      </c>
      <c r="B98" s="40" t="s">
        <v>184</v>
      </c>
      <c r="C98" s="39" t="s">
        <v>85</v>
      </c>
      <c r="D98" s="39">
        <v>83</v>
      </c>
      <c r="E98" s="39">
        <v>18</v>
      </c>
      <c r="F98" s="43"/>
    </row>
    <row r="99" spans="1:6" ht="18" x14ac:dyDescent="0.35">
      <c r="A99" s="39">
        <v>98</v>
      </c>
      <c r="B99" s="40" t="s">
        <v>185</v>
      </c>
      <c r="C99" s="39" t="s">
        <v>92</v>
      </c>
      <c r="D99" s="39">
        <v>71</v>
      </c>
      <c r="E99" s="39">
        <v>19</v>
      </c>
      <c r="F99" s="43"/>
    </row>
    <row r="100" spans="1:6" ht="18" x14ac:dyDescent="0.35">
      <c r="A100" s="39">
        <v>99</v>
      </c>
      <c r="B100" s="40" t="s">
        <v>186</v>
      </c>
      <c r="C100" s="39" t="s">
        <v>87</v>
      </c>
      <c r="D100" s="39">
        <v>42</v>
      </c>
      <c r="E100" s="39">
        <v>16</v>
      </c>
      <c r="F100" s="43"/>
    </row>
    <row r="101" spans="1:6" ht="18" x14ac:dyDescent="0.35">
      <c r="A101" s="39">
        <v>100</v>
      </c>
      <c r="B101" s="40" t="s">
        <v>187</v>
      </c>
      <c r="C101" s="39" t="s">
        <v>87</v>
      </c>
      <c r="D101" s="39">
        <v>32</v>
      </c>
      <c r="E101" s="39">
        <v>16</v>
      </c>
      <c r="F101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216C-BA57-4E09-B5E1-97C4A63C6D9B}">
  <sheetPr>
    <tabColor theme="9" tint="0.79998168889431442"/>
  </sheetPr>
  <dimension ref="A1:K13"/>
  <sheetViews>
    <sheetView showGridLines="0" zoomScale="115" zoomScaleNormal="115" workbookViewId="0">
      <selection activeCell="K3" sqref="K3:K6"/>
    </sheetView>
  </sheetViews>
  <sheetFormatPr defaultRowHeight="13.8" x14ac:dyDescent="0.25"/>
  <cols>
    <col min="1" max="1" width="7.5" style="1" bestFit="1" customWidth="1"/>
    <col min="2" max="2" width="5.09765625" style="1" bestFit="1" customWidth="1"/>
    <col min="3" max="3" width="18.296875" style="1" bestFit="1" customWidth="1"/>
    <col min="4" max="4" width="8.296875" style="1" bestFit="1" customWidth="1"/>
    <col min="5" max="5" width="6.59765625" style="1" bestFit="1" customWidth="1"/>
    <col min="6" max="6" width="12.796875" style="1" bestFit="1" customWidth="1"/>
    <col min="7" max="7" width="10.19921875" style="1" bestFit="1" customWidth="1"/>
    <col min="8" max="8" width="8.296875" style="1" bestFit="1" customWidth="1"/>
    <col min="9" max="9" width="10.19921875" style="1" bestFit="1" customWidth="1"/>
    <col min="10" max="10" width="8.796875" style="1"/>
    <col min="11" max="11" width="53.796875" style="1" bestFit="1" customWidth="1"/>
    <col min="12" max="16384" width="8.796875" style="1"/>
  </cols>
  <sheetData>
    <row r="1" spans="1:11" ht="15.6" x14ac:dyDescent="0.3">
      <c r="A1" s="47" t="s">
        <v>199</v>
      </c>
      <c r="B1" s="47" t="s">
        <v>200</v>
      </c>
      <c r="C1" s="47" t="s">
        <v>201</v>
      </c>
      <c r="D1" s="47" t="s">
        <v>202</v>
      </c>
      <c r="E1" s="47" t="s">
        <v>39</v>
      </c>
      <c r="F1" s="47" t="s">
        <v>203</v>
      </c>
      <c r="G1" s="48" t="s">
        <v>204</v>
      </c>
      <c r="H1" s="47" t="s">
        <v>26</v>
      </c>
      <c r="I1" s="48" t="s">
        <v>205</v>
      </c>
    </row>
    <row r="2" spans="1:11" ht="15.6" x14ac:dyDescent="0.3">
      <c r="A2" s="15" t="s">
        <v>206</v>
      </c>
      <c r="B2" s="15" t="s">
        <v>207</v>
      </c>
      <c r="C2" s="15" t="s">
        <v>208</v>
      </c>
      <c r="D2" s="15" t="s">
        <v>209</v>
      </c>
      <c r="E2" s="15" t="s">
        <v>210</v>
      </c>
      <c r="F2" s="15" t="s">
        <v>211</v>
      </c>
      <c r="G2" s="49">
        <v>3.5</v>
      </c>
      <c r="H2" s="50">
        <v>10</v>
      </c>
      <c r="I2" s="51">
        <f t="shared" ref="I2:I13" si="0">G2*H2</f>
        <v>35</v>
      </c>
    </row>
    <row r="3" spans="1:11" ht="15.6" x14ac:dyDescent="0.3">
      <c r="A3" s="15" t="s">
        <v>212</v>
      </c>
      <c r="B3" s="15" t="s">
        <v>207</v>
      </c>
      <c r="C3" s="15" t="s">
        <v>213</v>
      </c>
      <c r="D3" s="15" t="s">
        <v>209</v>
      </c>
      <c r="E3" s="15" t="s">
        <v>214</v>
      </c>
      <c r="F3" s="15" t="s">
        <v>211</v>
      </c>
      <c r="G3" s="49">
        <v>10</v>
      </c>
      <c r="H3" s="50">
        <v>20</v>
      </c>
      <c r="I3" s="51">
        <f t="shared" si="0"/>
        <v>200</v>
      </c>
      <c r="K3" s="78" t="s">
        <v>1757</v>
      </c>
    </row>
    <row r="4" spans="1:11" ht="15.6" x14ac:dyDescent="0.3">
      <c r="A4" s="15" t="s">
        <v>212</v>
      </c>
      <c r="B4" s="15" t="s">
        <v>207</v>
      </c>
      <c r="C4" s="15" t="s">
        <v>215</v>
      </c>
      <c r="D4" s="15" t="s">
        <v>216</v>
      </c>
      <c r="E4" s="15" t="s">
        <v>217</v>
      </c>
      <c r="F4" s="15" t="s">
        <v>211</v>
      </c>
      <c r="G4" s="49">
        <v>19.5</v>
      </c>
      <c r="H4" s="50">
        <v>100</v>
      </c>
      <c r="I4" s="51">
        <f t="shared" si="0"/>
        <v>1950</v>
      </c>
      <c r="K4" s="94" t="s">
        <v>1749</v>
      </c>
    </row>
    <row r="5" spans="1:11" ht="15.6" x14ac:dyDescent="0.3">
      <c r="A5" s="15" t="s">
        <v>206</v>
      </c>
      <c r="B5" s="15" t="s">
        <v>207</v>
      </c>
      <c r="C5" s="15" t="s">
        <v>213</v>
      </c>
      <c r="D5" s="15" t="s">
        <v>209</v>
      </c>
      <c r="E5" s="15" t="s">
        <v>210</v>
      </c>
      <c r="F5" s="15" t="s">
        <v>218</v>
      </c>
      <c r="G5" s="49">
        <v>14</v>
      </c>
      <c r="H5" s="50">
        <v>100</v>
      </c>
      <c r="I5" s="51">
        <f t="shared" si="0"/>
        <v>1400</v>
      </c>
      <c r="K5" s="94"/>
    </row>
    <row r="6" spans="1:11" ht="15.6" x14ac:dyDescent="0.3">
      <c r="A6" s="15" t="s">
        <v>212</v>
      </c>
      <c r="B6" s="15" t="s">
        <v>207</v>
      </c>
      <c r="C6" s="15" t="s">
        <v>219</v>
      </c>
      <c r="D6" s="15" t="s">
        <v>209</v>
      </c>
      <c r="E6" s="15" t="s">
        <v>210</v>
      </c>
      <c r="F6" s="15" t="s">
        <v>218</v>
      </c>
      <c r="G6" s="49">
        <v>34.799999999999997</v>
      </c>
      <c r="H6" s="50">
        <v>50</v>
      </c>
      <c r="I6" s="51">
        <f t="shared" si="0"/>
        <v>1739.9999999999998</v>
      </c>
      <c r="K6" s="94"/>
    </row>
    <row r="7" spans="1:11" ht="15.6" x14ac:dyDescent="0.3">
      <c r="A7" s="15" t="s">
        <v>212</v>
      </c>
      <c r="B7" s="15" t="s">
        <v>207</v>
      </c>
      <c r="C7" s="15" t="s">
        <v>220</v>
      </c>
      <c r="D7" s="15" t="s">
        <v>209</v>
      </c>
      <c r="E7" s="15" t="s">
        <v>214</v>
      </c>
      <c r="F7" s="15" t="s">
        <v>218</v>
      </c>
      <c r="G7" s="49">
        <v>40</v>
      </c>
      <c r="H7" s="50">
        <v>25</v>
      </c>
      <c r="I7" s="51">
        <f t="shared" si="0"/>
        <v>1000</v>
      </c>
    </row>
    <row r="8" spans="1:11" ht="15.6" x14ac:dyDescent="0.3">
      <c r="A8" s="15" t="s">
        <v>212</v>
      </c>
      <c r="B8" s="15" t="s">
        <v>207</v>
      </c>
      <c r="C8" s="15" t="s">
        <v>220</v>
      </c>
      <c r="D8" s="15" t="s">
        <v>209</v>
      </c>
      <c r="E8" s="15" t="s">
        <v>210</v>
      </c>
      <c r="F8" s="15" t="s">
        <v>218</v>
      </c>
      <c r="G8" s="49">
        <v>9.1999999999999993</v>
      </c>
      <c r="H8" s="50">
        <v>25</v>
      </c>
      <c r="I8" s="51">
        <f t="shared" si="0"/>
        <v>229.99999999999997</v>
      </c>
    </row>
    <row r="9" spans="1:11" ht="15.6" x14ac:dyDescent="0.3">
      <c r="A9" s="15" t="s">
        <v>221</v>
      </c>
      <c r="B9" s="15" t="s">
        <v>207</v>
      </c>
      <c r="C9" s="15" t="s">
        <v>222</v>
      </c>
      <c r="D9" s="15" t="s">
        <v>209</v>
      </c>
      <c r="E9" s="15" t="s">
        <v>210</v>
      </c>
      <c r="F9" s="15" t="s">
        <v>218</v>
      </c>
      <c r="G9" s="49">
        <v>14</v>
      </c>
      <c r="H9" s="50">
        <v>87</v>
      </c>
      <c r="I9" s="51">
        <f t="shared" si="0"/>
        <v>1218</v>
      </c>
    </row>
    <row r="10" spans="1:11" ht="15.6" x14ac:dyDescent="0.3">
      <c r="A10" s="15" t="s">
        <v>212</v>
      </c>
      <c r="B10" s="15" t="s">
        <v>207</v>
      </c>
      <c r="C10" s="15" t="s">
        <v>213</v>
      </c>
      <c r="D10" s="15" t="s">
        <v>209</v>
      </c>
      <c r="E10" s="15" t="s">
        <v>214</v>
      </c>
      <c r="F10" s="15" t="s">
        <v>218</v>
      </c>
      <c r="G10" s="49">
        <v>3.5</v>
      </c>
      <c r="H10" s="50">
        <v>10</v>
      </c>
      <c r="I10" s="51">
        <f t="shared" si="0"/>
        <v>35</v>
      </c>
    </row>
    <row r="11" spans="1:11" ht="15.6" x14ac:dyDescent="0.3">
      <c r="A11" s="15" t="s">
        <v>212</v>
      </c>
      <c r="B11" s="15" t="s">
        <v>207</v>
      </c>
      <c r="C11" s="15" t="s">
        <v>208</v>
      </c>
      <c r="D11" s="15" t="s">
        <v>209</v>
      </c>
      <c r="E11" s="15" t="s">
        <v>214</v>
      </c>
      <c r="F11" s="15" t="s">
        <v>218</v>
      </c>
      <c r="G11" s="49">
        <v>18</v>
      </c>
      <c r="H11" s="50">
        <v>15</v>
      </c>
      <c r="I11" s="51">
        <f t="shared" si="0"/>
        <v>270</v>
      </c>
    </row>
    <row r="12" spans="1:11" ht="15.6" x14ac:dyDescent="0.3">
      <c r="A12" s="15" t="s">
        <v>212</v>
      </c>
      <c r="B12" s="15" t="s">
        <v>207</v>
      </c>
      <c r="C12" s="15" t="s">
        <v>219</v>
      </c>
      <c r="D12" s="15" t="s">
        <v>209</v>
      </c>
      <c r="E12" s="15" t="s">
        <v>210</v>
      </c>
      <c r="F12" s="15" t="s">
        <v>218</v>
      </c>
      <c r="G12" s="49">
        <v>22</v>
      </c>
      <c r="H12" s="50">
        <v>10</v>
      </c>
      <c r="I12" s="51">
        <f t="shared" si="0"/>
        <v>220</v>
      </c>
    </row>
    <row r="13" spans="1:11" ht="15.6" x14ac:dyDescent="0.3">
      <c r="A13" s="15" t="s">
        <v>206</v>
      </c>
      <c r="B13" s="15" t="s">
        <v>207</v>
      </c>
      <c r="C13" s="15" t="s">
        <v>220</v>
      </c>
      <c r="D13" s="15" t="s">
        <v>209</v>
      </c>
      <c r="E13" s="15" t="s">
        <v>214</v>
      </c>
      <c r="F13" s="15" t="s">
        <v>223</v>
      </c>
      <c r="G13" s="49">
        <v>2.99</v>
      </c>
      <c r="H13" s="50">
        <v>200</v>
      </c>
      <c r="I13" s="51">
        <f t="shared" si="0"/>
        <v>598</v>
      </c>
    </row>
  </sheetData>
  <mergeCells count="1">
    <mergeCell ref="K4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BE63-0F50-431E-9773-5E33F8EAC3B9}">
  <sheetPr>
    <tabColor theme="9" tint="0.79998168889431442"/>
  </sheetPr>
  <dimension ref="A1:H10"/>
  <sheetViews>
    <sheetView showGridLines="0" zoomScale="130" zoomScaleNormal="130" workbookViewId="0">
      <selection activeCell="H20" sqref="H20"/>
    </sheetView>
  </sheetViews>
  <sheetFormatPr defaultRowHeight="13.8" x14ac:dyDescent="0.25"/>
  <cols>
    <col min="1" max="1" width="11.5" bestFit="1" customWidth="1"/>
    <col min="2" max="2" width="11.8984375" bestFit="1" customWidth="1"/>
    <col min="3" max="3" width="10.3984375" bestFit="1" customWidth="1"/>
    <col min="5" max="5" width="9.8984375" bestFit="1" customWidth="1"/>
    <col min="6" max="6" width="10.59765625" bestFit="1" customWidth="1"/>
    <col min="7" max="7" width="15.5" bestFit="1" customWidth="1"/>
  </cols>
  <sheetData>
    <row r="1" spans="1:8" ht="14.4" x14ac:dyDescent="0.25">
      <c r="A1" s="52" t="s">
        <v>224</v>
      </c>
      <c r="B1" s="53" t="s">
        <v>1750</v>
      </c>
      <c r="C1" s="53" t="s">
        <v>1751</v>
      </c>
      <c r="D1" s="53" t="s">
        <v>1752</v>
      </c>
      <c r="E1" s="53" t="s">
        <v>1753</v>
      </c>
      <c r="F1" s="53" t="s">
        <v>1754</v>
      </c>
      <c r="G1" s="53" t="s">
        <v>1755</v>
      </c>
      <c r="H1" s="53" t="s">
        <v>1756</v>
      </c>
    </row>
    <row r="2" spans="1:8" ht="14.4" x14ac:dyDescent="0.25">
      <c r="A2" s="52" t="s">
        <v>79</v>
      </c>
      <c r="B2" s="53" t="s">
        <v>225</v>
      </c>
      <c r="C2" s="53" t="s">
        <v>226</v>
      </c>
      <c r="D2" s="53" t="s">
        <v>227</v>
      </c>
      <c r="E2" s="53" t="s">
        <v>228</v>
      </c>
      <c r="F2" s="53" t="s">
        <v>229</v>
      </c>
      <c r="G2" s="53" t="s">
        <v>230</v>
      </c>
      <c r="H2" s="53" t="s">
        <v>231</v>
      </c>
    </row>
    <row r="3" spans="1:8" ht="14.4" x14ac:dyDescent="0.25">
      <c r="A3" s="52" t="s">
        <v>232</v>
      </c>
      <c r="B3" s="53" t="s">
        <v>233</v>
      </c>
      <c r="C3" s="53" t="s">
        <v>234</v>
      </c>
      <c r="D3" s="53" t="s">
        <v>235</v>
      </c>
      <c r="E3" s="53" t="s">
        <v>236</v>
      </c>
      <c r="F3" s="53" t="s">
        <v>237</v>
      </c>
      <c r="G3" s="53" t="s">
        <v>238</v>
      </c>
      <c r="H3" s="53" t="s">
        <v>235</v>
      </c>
    </row>
    <row r="8" spans="1:8" ht="14.4" customHeight="1" x14ac:dyDescent="0.25">
      <c r="A8" s="52" t="s">
        <v>224</v>
      </c>
      <c r="B8" s="53" t="s">
        <v>1754</v>
      </c>
      <c r="C8" s="53" t="s">
        <v>1756</v>
      </c>
      <c r="D8" s="53" t="s">
        <v>1750</v>
      </c>
    </row>
    <row r="9" spans="1:8" ht="14.4" customHeight="1" x14ac:dyDescent="0.25">
      <c r="A9" s="52" t="s">
        <v>79</v>
      </c>
      <c r="B9" s="2"/>
      <c r="C9" s="2"/>
      <c r="D9" s="2"/>
    </row>
    <row r="10" spans="1:8" ht="14.4" customHeight="1" x14ac:dyDescent="0.25">
      <c r="A10" s="52" t="s">
        <v>232</v>
      </c>
      <c r="B10" s="2"/>
      <c r="C10" s="2"/>
      <c r="D1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A9B1-E529-4D5C-A5CD-1B04A41F42E0}">
  <sheetPr>
    <tabColor theme="9" tint="0.79998168889431442"/>
  </sheetPr>
  <dimension ref="A1:J598"/>
  <sheetViews>
    <sheetView showGridLines="0" workbookViewId="0">
      <selection activeCell="H2" sqref="H2"/>
    </sheetView>
  </sheetViews>
  <sheetFormatPr defaultRowHeight="13.8" x14ac:dyDescent="0.25"/>
  <cols>
    <col min="1" max="1" width="12.59765625" customWidth="1"/>
    <col min="2" max="2" width="26.09765625" bestFit="1" customWidth="1"/>
    <col min="3" max="3" width="41.296875" bestFit="1" customWidth="1"/>
    <col min="4" max="4" width="10.796875" bestFit="1" customWidth="1"/>
    <col min="5" max="5" width="17.3984375" bestFit="1" customWidth="1"/>
    <col min="7" max="7" width="14.59765625" bestFit="1" customWidth="1"/>
    <col min="8" max="8" width="15.296875" customWidth="1"/>
    <col min="9" max="9" width="20.09765625" bestFit="1" customWidth="1"/>
  </cols>
  <sheetData>
    <row r="1" spans="1:10" ht="19.8" customHeight="1" x14ac:dyDescent="0.25">
      <c r="A1" s="54" t="s">
        <v>224</v>
      </c>
      <c r="B1" s="54" t="s">
        <v>239</v>
      </c>
      <c r="C1" s="54" t="s">
        <v>240</v>
      </c>
      <c r="D1" s="54" t="s">
        <v>241</v>
      </c>
      <c r="E1" s="54" t="s">
        <v>242</v>
      </c>
      <c r="G1" s="54" t="s">
        <v>239</v>
      </c>
      <c r="H1" s="54"/>
    </row>
    <row r="2" spans="1:10" ht="14.4" x14ac:dyDescent="0.25">
      <c r="A2" s="55" t="s">
        <v>243</v>
      </c>
      <c r="B2" s="55" t="s">
        <v>244</v>
      </c>
      <c r="C2" s="55" t="s">
        <v>245</v>
      </c>
      <c r="D2" s="55" t="s">
        <v>246</v>
      </c>
      <c r="E2" s="55" t="s">
        <v>247</v>
      </c>
      <c r="G2" s="55" t="s">
        <v>287</v>
      </c>
      <c r="H2" s="2"/>
    </row>
    <row r="3" spans="1:10" ht="14.4" x14ac:dyDescent="0.25">
      <c r="A3" s="55" t="s">
        <v>249</v>
      </c>
      <c r="B3" s="55" t="s">
        <v>250</v>
      </c>
      <c r="C3" s="55" t="s">
        <v>251</v>
      </c>
      <c r="D3" s="55" t="s">
        <v>236</v>
      </c>
      <c r="E3" s="55" t="s">
        <v>252</v>
      </c>
      <c r="G3" s="55" t="s">
        <v>315</v>
      </c>
      <c r="H3" s="2"/>
    </row>
    <row r="4" spans="1:10" ht="14.4" x14ac:dyDescent="0.25">
      <c r="A4" s="55" t="s">
        <v>254</v>
      </c>
      <c r="B4" s="55" t="s">
        <v>255</v>
      </c>
      <c r="C4" s="55" t="s">
        <v>256</v>
      </c>
      <c r="D4" s="55" t="s">
        <v>237</v>
      </c>
      <c r="E4" s="55" t="s">
        <v>257</v>
      </c>
      <c r="G4" s="56" t="s">
        <v>393</v>
      </c>
      <c r="H4" s="2"/>
    </row>
    <row r="5" spans="1:10" ht="14.4" x14ac:dyDescent="0.25">
      <c r="A5" s="55" t="s">
        <v>259</v>
      </c>
      <c r="B5" s="55" t="s">
        <v>260</v>
      </c>
      <c r="C5" s="55" t="s">
        <v>261</v>
      </c>
      <c r="D5" s="55" t="s">
        <v>246</v>
      </c>
      <c r="E5" s="55" t="s">
        <v>252</v>
      </c>
      <c r="G5" s="56" t="s">
        <v>403</v>
      </c>
      <c r="H5" s="2"/>
    </row>
    <row r="6" spans="1:10" ht="14.4" x14ac:dyDescent="0.25">
      <c r="A6" s="55" t="s">
        <v>263</v>
      </c>
      <c r="B6" s="55" t="s">
        <v>264</v>
      </c>
      <c r="C6" s="55" t="s">
        <v>265</v>
      </c>
      <c r="D6" s="55" t="s">
        <v>246</v>
      </c>
      <c r="E6" s="55" t="s">
        <v>257</v>
      </c>
      <c r="G6" s="56" t="s">
        <v>411</v>
      </c>
      <c r="H6" s="2"/>
    </row>
    <row r="7" spans="1:10" ht="14.4" x14ac:dyDescent="0.25">
      <c r="A7" s="55" t="s">
        <v>267</v>
      </c>
      <c r="B7" s="55" t="s">
        <v>268</v>
      </c>
      <c r="C7" s="55" t="s">
        <v>269</v>
      </c>
      <c r="D7" s="55" t="s">
        <v>270</v>
      </c>
      <c r="E7" s="55" t="s">
        <v>271</v>
      </c>
    </row>
    <row r="8" spans="1:10" ht="14.4" x14ac:dyDescent="0.25">
      <c r="A8" s="55" t="s">
        <v>273</v>
      </c>
      <c r="B8" s="55" t="s">
        <v>274</v>
      </c>
      <c r="C8" s="55" t="s">
        <v>275</v>
      </c>
      <c r="D8" s="55" t="s">
        <v>237</v>
      </c>
      <c r="E8" s="55" t="s">
        <v>257</v>
      </c>
    </row>
    <row r="9" spans="1:10" ht="15.6" x14ac:dyDescent="0.3">
      <c r="A9" s="55" t="s">
        <v>277</v>
      </c>
      <c r="B9" s="55" t="s">
        <v>278</v>
      </c>
      <c r="C9" s="55" t="s">
        <v>279</v>
      </c>
      <c r="D9" s="55" t="s">
        <v>246</v>
      </c>
      <c r="E9" s="55" t="s">
        <v>257</v>
      </c>
      <c r="G9" s="78" t="s">
        <v>42</v>
      </c>
    </row>
    <row r="10" spans="1:10" ht="14.4" customHeight="1" x14ac:dyDescent="0.25">
      <c r="A10" s="55" t="s">
        <v>281</v>
      </c>
      <c r="B10" s="55" t="s">
        <v>282</v>
      </c>
      <c r="C10" s="55" t="s">
        <v>283</v>
      </c>
      <c r="D10" s="55" t="s">
        <v>284</v>
      </c>
      <c r="E10" s="55" t="s">
        <v>285</v>
      </c>
      <c r="G10" s="95" t="s">
        <v>1738</v>
      </c>
      <c r="H10" s="96"/>
      <c r="I10" s="96"/>
      <c r="J10" s="96"/>
    </row>
    <row r="11" spans="1:10" ht="14.4" customHeight="1" x14ac:dyDescent="0.25">
      <c r="A11" s="55" t="s">
        <v>286</v>
      </c>
      <c r="B11" s="55" t="s">
        <v>1736</v>
      </c>
      <c r="C11" s="55" t="s">
        <v>288</v>
      </c>
      <c r="D11" s="55" t="s">
        <v>246</v>
      </c>
      <c r="E11" s="55" t="s">
        <v>257</v>
      </c>
      <c r="G11" s="96"/>
      <c r="H11" s="96"/>
      <c r="I11" s="96"/>
      <c r="J11" s="96"/>
    </row>
    <row r="12" spans="1:10" ht="14.4" customHeight="1" x14ac:dyDescent="0.25">
      <c r="A12" s="55" t="s">
        <v>248</v>
      </c>
      <c r="B12" s="55" t="s">
        <v>290</v>
      </c>
      <c r="C12" s="55" t="s">
        <v>291</v>
      </c>
      <c r="D12" s="55" t="s">
        <v>246</v>
      </c>
      <c r="E12" s="55" t="s">
        <v>292</v>
      </c>
      <c r="G12" s="96"/>
      <c r="H12" s="96"/>
      <c r="I12" s="96"/>
      <c r="J12" s="96"/>
    </row>
    <row r="13" spans="1:10" ht="14.4" x14ac:dyDescent="0.25">
      <c r="A13" s="55" t="s">
        <v>293</v>
      </c>
      <c r="B13" s="55" t="s">
        <v>294</v>
      </c>
      <c r="C13" s="55" t="s">
        <v>295</v>
      </c>
      <c r="D13" s="55" t="s">
        <v>246</v>
      </c>
      <c r="E13" s="55" t="s">
        <v>296</v>
      </c>
    </row>
    <row r="14" spans="1:10" ht="14.4" x14ac:dyDescent="0.25">
      <c r="A14" s="55" t="s">
        <v>297</v>
      </c>
      <c r="B14" s="55" t="s">
        <v>298</v>
      </c>
      <c r="C14" s="55" t="s">
        <v>299</v>
      </c>
      <c r="D14" s="55" t="s">
        <v>246</v>
      </c>
      <c r="E14" s="55" t="s">
        <v>300</v>
      </c>
    </row>
    <row r="15" spans="1:10" ht="14.4" x14ac:dyDescent="0.25">
      <c r="A15" s="55" t="s">
        <v>301</v>
      </c>
      <c r="B15" s="55" t="s">
        <v>302</v>
      </c>
      <c r="C15" s="55" t="s">
        <v>303</v>
      </c>
      <c r="D15" s="55" t="s">
        <v>246</v>
      </c>
      <c r="E15" s="55" t="s">
        <v>271</v>
      </c>
    </row>
    <row r="16" spans="1:10" ht="14.4" x14ac:dyDescent="0.25">
      <c r="A16" s="55" t="s">
        <v>253</v>
      </c>
      <c r="B16" s="55" t="s">
        <v>304</v>
      </c>
      <c r="C16" s="55" t="s">
        <v>305</v>
      </c>
      <c r="D16" s="55" t="s">
        <v>306</v>
      </c>
      <c r="E16" s="55" t="s">
        <v>300</v>
      </c>
    </row>
    <row r="17" spans="1:5" ht="14.4" x14ac:dyDescent="0.25">
      <c r="A17" s="55" t="s">
        <v>307</v>
      </c>
      <c r="B17" s="55" t="s">
        <v>308</v>
      </c>
      <c r="C17" s="55" t="s">
        <v>309</v>
      </c>
      <c r="D17" s="55" t="s">
        <v>306</v>
      </c>
      <c r="E17" s="55" t="s">
        <v>271</v>
      </c>
    </row>
    <row r="18" spans="1:5" ht="14.4" x14ac:dyDescent="0.25">
      <c r="A18" s="55" t="s">
        <v>310</v>
      </c>
      <c r="B18" s="55" t="s">
        <v>311</v>
      </c>
      <c r="C18" s="55" t="s">
        <v>312</v>
      </c>
      <c r="D18" s="55" t="s">
        <v>306</v>
      </c>
      <c r="E18" s="55" t="s">
        <v>313</v>
      </c>
    </row>
    <row r="19" spans="1:5" ht="14.4" x14ac:dyDescent="0.25">
      <c r="A19" s="55" t="s">
        <v>314</v>
      </c>
      <c r="B19" s="55" t="s">
        <v>315</v>
      </c>
      <c r="C19" s="55" t="s">
        <v>316</v>
      </c>
      <c r="D19" s="55" t="s">
        <v>306</v>
      </c>
      <c r="E19" s="55" t="s">
        <v>317</v>
      </c>
    </row>
    <row r="20" spans="1:5" ht="14.4" x14ac:dyDescent="0.25">
      <c r="A20" s="55" t="s">
        <v>321</v>
      </c>
      <c r="B20" s="55" t="s">
        <v>322</v>
      </c>
      <c r="C20" s="55" t="s">
        <v>323</v>
      </c>
      <c r="D20" s="55" t="s">
        <v>306</v>
      </c>
      <c r="E20" s="55" t="s">
        <v>296</v>
      </c>
    </row>
    <row r="21" spans="1:5" ht="14.4" x14ac:dyDescent="0.25">
      <c r="A21" s="55" t="s">
        <v>324</v>
      </c>
      <c r="B21" s="55" t="s">
        <v>325</v>
      </c>
      <c r="C21" s="55" t="s">
        <v>326</v>
      </c>
      <c r="D21" s="55" t="s">
        <v>306</v>
      </c>
      <c r="E21" s="55" t="s">
        <v>300</v>
      </c>
    </row>
    <row r="22" spans="1:5" ht="14.4" x14ac:dyDescent="0.25">
      <c r="A22" s="55" t="s">
        <v>327</v>
      </c>
      <c r="B22" s="55" t="s">
        <v>227</v>
      </c>
      <c r="C22" s="55" t="s">
        <v>328</v>
      </c>
      <c r="D22" s="55" t="s">
        <v>306</v>
      </c>
      <c r="E22" s="55" t="s">
        <v>252</v>
      </c>
    </row>
    <row r="23" spans="1:5" ht="14.4" x14ac:dyDescent="0.25">
      <c r="A23" s="55" t="s">
        <v>329</v>
      </c>
      <c r="B23" s="55" t="s">
        <v>330</v>
      </c>
      <c r="C23" s="55" t="s">
        <v>331</v>
      </c>
      <c r="D23" s="55" t="s">
        <v>306</v>
      </c>
      <c r="E23" s="55" t="s">
        <v>332</v>
      </c>
    </row>
    <row r="24" spans="1:5" ht="14.4" x14ac:dyDescent="0.25">
      <c r="A24" s="55" t="s">
        <v>333</v>
      </c>
      <c r="B24" s="55" t="s">
        <v>334</v>
      </c>
      <c r="C24" s="55" t="s">
        <v>335</v>
      </c>
      <c r="D24" s="55" t="s">
        <v>306</v>
      </c>
      <c r="E24" s="55" t="s">
        <v>252</v>
      </c>
    </row>
    <row r="25" spans="1:5" ht="14.4" x14ac:dyDescent="0.25">
      <c r="A25" s="55" t="s">
        <v>336</v>
      </c>
      <c r="B25" s="55" t="s">
        <v>337</v>
      </c>
      <c r="C25" s="55" t="s">
        <v>338</v>
      </c>
      <c r="D25" s="55" t="s">
        <v>306</v>
      </c>
      <c r="E25" s="55" t="s">
        <v>339</v>
      </c>
    </row>
    <row r="26" spans="1:5" ht="14.4" x14ac:dyDescent="0.25">
      <c r="A26" s="55" t="s">
        <v>340</v>
      </c>
      <c r="B26" s="55" t="s">
        <v>341</v>
      </c>
      <c r="C26" s="55" t="s">
        <v>342</v>
      </c>
      <c r="D26" s="55" t="s">
        <v>246</v>
      </c>
      <c r="E26" s="55" t="s">
        <v>343</v>
      </c>
    </row>
    <row r="27" spans="1:5" ht="14.4" x14ac:dyDescent="0.25">
      <c r="A27" s="55" t="s">
        <v>345</v>
      </c>
      <c r="B27" s="55" t="s">
        <v>346</v>
      </c>
      <c r="C27" s="55" t="s">
        <v>347</v>
      </c>
      <c r="D27" s="55" t="s">
        <v>246</v>
      </c>
      <c r="E27" s="55" t="s">
        <v>300</v>
      </c>
    </row>
    <row r="28" spans="1:5" ht="14.4" x14ac:dyDescent="0.25">
      <c r="A28" s="55" t="s">
        <v>258</v>
      </c>
      <c r="B28" s="55" t="s">
        <v>348</v>
      </c>
      <c r="C28" s="55" t="s">
        <v>349</v>
      </c>
      <c r="D28" s="55" t="s">
        <v>306</v>
      </c>
      <c r="E28" s="55" t="s">
        <v>332</v>
      </c>
    </row>
    <row r="29" spans="1:5" ht="14.4" x14ac:dyDescent="0.25">
      <c r="A29" s="55" t="s">
        <v>262</v>
      </c>
      <c r="B29" s="55" t="s">
        <v>350</v>
      </c>
      <c r="C29" s="55" t="s">
        <v>351</v>
      </c>
      <c r="D29" s="55" t="s">
        <v>246</v>
      </c>
      <c r="E29" s="55" t="s">
        <v>332</v>
      </c>
    </row>
    <row r="30" spans="1:5" ht="14.4" x14ac:dyDescent="0.25">
      <c r="A30" s="55" t="s">
        <v>352</v>
      </c>
      <c r="B30" s="55" t="s">
        <v>353</v>
      </c>
      <c r="C30" s="55" t="s">
        <v>354</v>
      </c>
      <c r="D30" s="55" t="s">
        <v>306</v>
      </c>
      <c r="E30" s="55" t="s">
        <v>271</v>
      </c>
    </row>
    <row r="31" spans="1:5" ht="14.4" x14ac:dyDescent="0.25">
      <c r="A31" s="55" t="s">
        <v>355</v>
      </c>
      <c r="B31" s="55" t="s">
        <v>356</v>
      </c>
      <c r="C31" s="55" t="s">
        <v>357</v>
      </c>
      <c r="D31" s="55" t="s">
        <v>306</v>
      </c>
      <c r="E31" s="55" t="s">
        <v>257</v>
      </c>
    </row>
    <row r="32" spans="1:5" ht="14.4" x14ac:dyDescent="0.25">
      <c r="A32" s="55" t="s">
        <v>358</v>
      </c>
      <c r="B32" s="55" t="s">
        <v>359</v>
      </c>
      <c r="C32" s="55" t="s">
        <v>360</v>
      </c>
      <c r="D32" s="55" t="s">
        <v>306</v>
      </c>
      <c r="E32" s="55" t="s">
        <v>296</v>
      </c>
    </row>
    <row r="33" spans="1:5" ht="14.4" x14ac:dyDescent="0.25">
      <c r="A33" s="55" t="s">
        <v>361</v>
      </c>
      <c r="B33" s="55" t="s">
        <v>362</v>
      </c>
      <c r="C33" s="55" t="s">
        <v>363</v>
      </c>
      <c r="D33" s="55" t="s">
        <v>306</v>
      </c>
      <c r="E33" s="55" t="s">
        <v>296</v>
      </c>
    </row>
    <row r="34" spans="1:5" ht="14.4" x14ac:dyDescent="0.25">
      <c r="A34" s="55" t="s">
        <v>364</v>
      </c>
      <c r="B34" s="55" t="s">
        <v>365</v>
      </c>
      <c r="C34" s="55" t="s">
        <v>275</v>
      </c>
      <c r="D34" s="55" t="s">
        <v>246</v>
      </c>
      <c r="E34" s="55" t="s">
        <v>257</v>
      </c>
    </row>
    <row r="35" spans="1:5" ht="14.4" x14ac:dyDescent="0.25">
      <c r="A35" s="55" t="s">
        <v>272</v>
      </c>
      <c r="B35" s="55" t="s">
        <v>368</v>
      </c>
      <c r="C35" s="55" t="s">
        <v>363</v>
      </c>
      <c r="D35" s="55" t="s">
        <v>320</v>
      </c>
      <c r="E35" s="55" t="s">
        <v>296</v>
      </c>
    </row>
    <row r="36" spans="1:5" ht="14.4" x14ac:dyDescent="0.25">
      <c r="A36" s="55" t="s">
        <v>369</v>
      </c>
      <c r="B36" s="55" t="s">
        <v>370</v>
      </c>
      <c r="C36" s="55" t="s">
        <v>371</v>
      </c>
      <c r="D36" s="55" t="s">
        <v>246</v>
      </c>
      <c r="E36" s="55" t="s">
        <v>300</v>
      </c>
    </row>
    <row r="37" spans="1:5" ht="14.4" x14ac:dyDescent="0.25">
      <c r="A37" s="55" t="s">
        <v>372</v>
      </c>
      <c r="B37" s="55" t="s">
        <v>373</v>
      </c>
      <c r="C37" s="55" t="s">
        <v>275</v>
      </c>
      <c r="D37" s="55" t="s">
        <v>306</v>
      </c>
      <c r="E37" s="55" t="s">
        <v>257</v>
      </c>
    </row>
    <row r="38" spans="1:5" ht="14.4" x14ac:dyDescent="0.25">
      <c r="A38" s="55" t="s">
        <v>374</v>
      </c>
      <c r="B38" s="55" t="s">
        <v>375</v>
      </c>
      <c r="C38" s="55" t="s">
        <v>376</v>
      </c>
      <c r="D38" s="55" t="s">
        <v>377</v>
      </c>
      <c r="E38" s="55" t="s">
        <v>378</v>
      </c>
    </row>
    <row r="39" spans="1:5" ht="14.4" x14ac:dyDescent="0.25">
      <c r="A39" s="55" t="s">
        <v>379</v>
      </c>
      <c r="B39" s="55" t="s">
        <v>380</v>
      </c>
      <c r="C39" s="55" t="s">
        <v>357</v>
      </c>
      <c r="D39" s="55" t="s">
        <v>306</v>
      </c>
      <c r="E39" s="55" t="s">
        <v>257</v>
      </c>
    </row>
    <row r="40" spans="1:5" ht="14.4" x14ac:dyDescent="0.25">
      <c r="A40" s="55" t="s">
        <v>381</v>
      </c>
      <c r="B40" s="55" t="s">
        <v>382</v>
      </c>
      <c r="C40" s="55" t="s">
        <v>383</v>
      </c>
      <c r="D40" s="55" t="s">
        <v>306</v>
      </c>
      <c r="E40" s="55" t="s">
        <v>252</v>
      </c>
    </row>
    <row r="41" spans="1:5" ht="14.4" x14ac:dyDescent="0.25">
      <c r="A41" s="55" t="s">
        <v>386</v>
      </c>
      <c r="B41" s="55" t="s">
        <v>387</v>
      </c>
      <c r="C41" s="55" t="s">
        <v>388</v>
      </c>
      <c r="D41" s="55" t="s">
        <v>246</v>
      </c>
      <c r="E41" s="55" t="s">
        <v>257</v>
      </c>
    </row>
    <row r="42" spans="1:5" ht="14.4" x14ac:dyDescent="0.25">
      <c r="A42" s="55" t="s">
        <v>389</v>
      </c>
      <c r="B42" s="56" t="s">
        <v>390</v>
      </c>
      <c r="C42" s="55" t="s">
        <v>391</v>
      </c>
      <c r="D42" s="55" t="s">
        <v>246</v>
      </c>
      <c r="E42" s="55" t="s">
        <v>257</v>
      </c>
    </row>
    <row r="43" spans="1:5" ht="14.4" x14ac:dyDescent="0.25">
      <c r="A43" s="55" t="s">
        <v>392</v>
      </c>
      <c r="B43" s="56" t="s">
        <v>393</v>
      </c>
      <c r="C43" s="55" t="s">
        <v>295</v>
      </c>
      <c r="D43" s="55" t="s">
        <v>246</v>
      </c>
      <c r="E43" s="55" t="s">
        <v>296</v>
      </c>
    </row>
    <row r="44" spans="1:5" ht="14.4" x14ac:dyDescent="0.25">
      <c r="A44" s="55" t="s">
        <v>394</v>
      </c>
      <c r="B44" s="56" t="s">
        <v>395</v>
      </c>
      <c r="C44" s="55" t="s">
        <v>396</v>
      </c>
      <c r="D44" s="55" t="s">
        <v>246</v>
      </c>
      <c r="E44" s="55" t="s">
        <v>252</v>
      </c>
    </row>
    <row r="45" spans="1:5" ht="14.4" x14ac:dyDescent="0.25">
      <c r="A45" s="55" t="s">
        <v>397</v>
      </c>
      <c r="B45" s="56" t="s">
        <v>398</v>
      </c>
      <c r="C45" s="55" t="s">
        <v>335</v>
      </c>
      <c r="D45" s="55" t="s">
        <v>246</v>
      </c>
      <c r="E45" s="55" t="s">
        <v>252</v>
      </c>
    </row>
    <row r="46" spans="1:5" ht="14.4" x14ac:dyDescent="0.25">
      <c r="A46" s="55" t="s">
        <v>399</v>
      </c>
      <c r="B46" s="56" t="s">
        <v>400</v>
      </c>
      <c r="C46" s="55" t="s">
        <v>401</v>
      </c>
      <c r="D46" s="55" t="s">
        <v>246</v>
      </c>
      <c r="E46" s="55" t="s">
        <v>332</v>
      </c>
    </row>
    <row r="47" spans="1:5" ht="14.4" x14ac:dyDescent="0.25">
      <c r="A47" s="55" t="s">
        <v>402</v>
      </c>
      <c r="B47" s="56" t="s">
        <v>403</v>
      </c>
      <c r="C47" s="55" t="s">
        <v>404</v>
      </c>
      <c r="D47" s="55" t="s">
        <v>306</v>
      </c>
      <c r="E47" s="55" t="s">
        <v>252</v>
      </c>
    </row>
    <row r="48" spans="1:5" ht="14.4" x14ac:dyDescent="0.25">
      <c r="A48" s="55" t="s">
        <v>405</v>
      </c>
      <c r="B48" s="56" t="s">
        <v>406</v>
      </c>
      <c r="C48" s="55" t="s">
        <v>407</v>
      </c>
      <c r="D48" s="55" t="s">
        <v>306</v>
      </c>
      <c r="E48" s="55" t="s">
        <v>271</v>
      </c>
    </row>
    <row r="49" spans="1:5" ht="14.4" x14ac:dyDescent="0.25">
      <c r="A49" s="55" t="s">
        <v>276</v>
      </c>
      <c r="B49" s="56" t="s">
        <v>408</v>
      </c>
      <c r="C49" s="55" t="s">
        <v>409</v>
      </c>
      <c r="D49" s="55" t="s">
        <v>306</v>
      </c>
      <c r="E49" s="55" t="s">
        <v>252</v>
      </c>
    </row>
    <row r="50" spans="1:5" ht="14.4" x14ac:dyDescent="0.25">
      <c r="A50" s="55" t="s">
        <v>410</v>
      </c>
      <c r="B50" s="56" t="s">
        <v>1737</v>
      </c>
      <c r="C50" s="55" t="s">
        <v>412</v>
      </c>
      <c r="D50" s="55" t="s">
        <v>306</v>
      </c>
      <c r="E50" s="55" t="s">
        <v>271</v>
      </c>
    </row>
    <row r="51" spans="1:5" ht="14.4" x14ac:dyDescent="0.25">
      <c r="A51" s="55" t="s">
        <v>413</v>
      </c>
      <c r="B51" s="56" t="s">
        <v>414</v>
      </c>
      <c r="C51" s="55" t="s">
        <v>415</v>
      </c>
      <c r="D51" s="55" t="s">
        <v>246</v>
      </c>
      <c r="E51" s="55" t="s">
        <v>257</v>
      </c>
    </row>
    <row r="52" spans="1:5" ht="14.4" x14ac:dyDescent="0.25">
      <c r="A52" s="55" t="s">
        <v>416</v>
      </c>
      <c r="B52" s="56" t="s">
        <v>417</v>
      </c>
      <c r="C52" s="55" t="s">
        <v>418</v>
      </c>
      <c r="D52" s="55" t="s">
        <v>306</v>
      </c>
      <c r="E52" s="55" t="s">
        <v>300</v>
      </c>
    </row>
    <row r="53" spans="1:5" ht="14.4" x14ac:dyDescent="0.25">
      <c r="A53" s="55" t="s">
        <v>419</v>
      </c>
      <c r="B53" s="56" t="s">
        <v>420</v>
      </c>
      <c r="C53" s="55" t="s">
        <v>371</v>
      </c>
      <c r="D53" s="55" t="s">
        <v>306</v>
      </c>
      <c r="E53" s="55" t="s">
        <v>300</v>
      </c>
    </row>
    <row r="54" spans="1:5" ht="14.4" x14ac:dyDescent="0.25">
      <c r="A54" s="55" t="s">
        <v>421</v>
      </c>
      <c r="B54" s="56" t="s">
        <v>422</v>
      </c>
      <c r="C54" s="55" t="s">
        <v>385</v>
      </c>
      <c r="D54" s="55" t="s">
        <v>246</v>
      </c>
      <c r="E54" s="55" t="s">
        <v>257</v>
      </c>
    </row>
    <row r="55" spans="1:5" ht="14.4" x14ac:dyDescent="0.25">
      <c r="A55" s="55" t="s">
        <v>423</v>
      </c>
      <c r="B55" s="56" t="s">
        <v>74</v>
      </c>
      <c r="C55" s="55" t="s">
        <v>357</v>
      </c>
      <c r="D55" s="55" t="s">
        <v>306</v>
      </c>
      <c r="E55" s="55" t="s">
        <v>257</v>
      </c>
    </row>
    <row r="56" spans="1:5" ht="14.4" x14ac:dyDescent="0.25">
      <c r="A56" s="55" t="s">
        <v>280</v>
      </c>
      <c r="B56" s="56" t="s">
        <v>424</v>
      </c>
      <c r="C56" s="55" t="s">
        <v>371</v>
      </c>
      <c r="D56" s="55" t="s">
        <v>237</v>
      </c>
      <c r="E56" s="55" t="s">
        <v>300</v>
      </c>
    </row>
    <row r="57" spans="1:5" ht="14.4" x14ac:dyDescent="0.25">
      <c r="A57" s="55" t="s">
        <v>425</v>
      </c>
      <c r="B57" s="56" t="s">
        <v>426</v>
      </c>
      <c r="C57" s="55" t="s">
        <v>427</v>
      </c>
      <c r="D57" s="55" t="s">
        <v>306</v>
      </c>
      <c r="E57" s="55" t="s">
        <v>257</v>
      </c>
    </row>
    <row r="58" spans="1:5" ht="14.4" x14ac:dyDescent="0.25">
      <c r="A58" s="55" t="s">
        <v>428</v>
      </c>
      <c r="B58" s="56" t="s">
        <v>429</v>
      </c>
      <c r="C58" s="55" t="s">
        <v>430</v>
      </c>
      <c r="D58" s="55" t="s">
        <v>246</v>
      </c>
      <c r="E58" s="55" t="s">
        <v>332</v>
      </c>
    </row>
    <row r="59" spans="1:5" ht="14.4" x14ac:dyDescent="0.25">
      <c r="A59" s="55" t="s">
        <v>431</v>
      </c>
      <c r="B59" s="56" t="s">
        <v>432</v>
      </c>
      <c r="C59" s="55" t="s">
        <v>433</v>
      </c>
      <c r="D59" s="55" t="s">
        <v>246</v>
      </c>
      <c r="E59" s="55" t="s">
        <v>317</v>
      </c>
    </row>
    <row r="60" spans="1:5" ht="14.4" x14ac:dyDescent="0.25">
      <c r="A60" s="55" t="s">
        <v>434</v>
      </c>
      <c r="B60" s="56" t="s">
        <v>435</v>
      </c>
      <c r="C60" s="55" t="s">
        <v>279</v>
      </c>
      <c r="D60" s="55" t="s">
        <v>246</v>
      </c>
      <c r="E60" s="55" t="s">
        <v>257</v>
      </c>
    </row>
    <row r="61" spans="1:5" ht="14.4" x14ac:dyDescent="0.25">
      <c r="A61" s="55" t="s">
        <v>436</v>
      </c>
      <c r="B61" s="56" t="s">
        <v>437</v>
      </c>
      <c r="C61" s="55" t="s">
        <v>438</v>
      </c>
      <c r="D61" s="55" t="s">
        <v>246</v>
      </c>
      <c r="E61" s="55" t="s">
        <v>252</v>
      </c>
    </row>
    <row r="62" spans="1:5" ht="14.4" x14ac:dyDescent="0.25">
      <c r="A62" s="55" t="s">
        <v>439</v>
      </c>
      <c r="B62" s="56" t="s">
        <v>440</v>
      </c>
      <c r="C62" s="55" t="s">
        <v>441</v>
      </c>
      <c r="D62" s="55" t="s">
        <v>246</v>
      </c>
      <c r="E62" s="55" t="s">
        <v>257</v>
      </c>
    </row>
    <row r="63" spans="1:5" ht="14.4" x14ac:dyDescent="0.25">
      <c r="A63" s="55" t="s">
        <v>442</v>
      </c>
      <c r="B63" s="56" t="s">
        <v>443</v>
      </c>
      <c r="C63" s="55" t="s">
        <v>427</v>
      </c>
      <c r="D63" s="55" t="s">
        <v>246</v>
      </c>
      <c r="E63" s="55" t="s">
        <v>257</v>
      </c>
    </row>
    <row r="64" spans="1:5" ht="14.4" x14ac:dyDescent="0.25">
      <c r="A64" s="55" t="s">
        <v>444</v>
      </c>
      <c r="B64" s="56" t="s">
        <v>445</v>
      </c>
      <c r="C64" s="55" t="s">
        <v>312</v>
      </c>
      <c r="D64" s="55" t="s">
        <v>246</v>
      </c>
      <c r="E64" s="55" t="s">
        <v>313</v>
      </c>
    </row>
    <row r="65" spans="1:5" ht="14.4" x14ac:dyDescent="0.25">
      <c r="A65" s="55" t="s">
        <v>446</v>
      </c>
      <c r="B65" s="56" t="s">
        <v>447</v>
      </c>
      <c r="C65" s="55" t="s">
        <v>448</v>
      </c>
      <c r="D65" s="55" t="s">
        <v>449</v>
      </c>
      <c r="E65" s="55" t="s">
        <v>252</v>
      </c>
    </row>
    <row r="66" spans="1:5" ht="14.4" x14ac:dyDescent="0.25">
      <c r="A66" s="55" t="s">
        <v>450</v>
      </c>
      <c r="B66" s="56" t="s">
        <v>451</v>
      </c>
      <c r="C66" s="55" t="s">
        <v>452</v>
      </c>
      <c r="D66" s="55" t="s">
        <v>246</v>
      </c>
      <c r="E66" s="55" t="s">
        <v>252</v>
      </c>
    </row>
    <row r="67" spans="1:5" ht="14.4" x14ac:dyDescent="0.25">
      <c r="A67" s="55" t="s">
        <v>453</v>
      </c>
      <c r="B67" s="56" t="s">
        <v>454</v>
      </c>
      <c r="C67" s="55" t="s">
        <v>455</v>
      </c>
      <c r="D67" s="55" t="s">
        <v>246</v>
      </c>
      <c r="E67" s="55" t="s">
        <v>300</v>
      </c>
    </row>
    <row r="68" spans="1:5" ht="14.4" x14ac:dyDescent="0.25">
      <c r="A68" s="55" t="s">
        <v>456</v>
      </c>
      <c r="B68" s="56" t="s">
        <v>457</v>
      </c>
      <c r="C68" s="55" t="s">
        <v>458</v>
      </c>
      <c r="D68" s="55" t="s">
        <v>306</v>
      </c>
      <c r="E68" s="55" t="s">
        <v>292</v>
      </c>
    </row>
    <row r="69" spans="1:5" ht="14.4" x14ac:dyDescent="0.25">
      <c r="A69" s="55" t="s">
        <v>459</v>
      </c>
      <c r="B69" s="56" t="s">
        <v>460</v>
      </c>
      <c r="C69" s="55" t="s">
        <v>279</v>
      </c>
      <c r="D69" s="55" t="s">
        <v>246</v>
      </c>
      <c r="E69" s="55" t="s">
        <v>257</v>
      </c>
    </row>
    <row r="70" spans="1:5" ht="14.4" x14ac:dyDescent="0.25">
      <c r="A70" s="55" t="s">
        <v>461</v>
      </c>
      <c r="B70" s="56" t="s">
        <v>462</v>
      </c>
      <c r="C70" s="55" t="s">
        <v>463</v>
      </c>
      <c r="D70" s="55" t="s">
        <v>270</v>
      </c>
      <c r="E70" s="55" t="s">
        <v>257</v>
      </c>
    </row>
    <row r="71" spans="1:5" ht="14.4" x14ac:dyDescent="0.25">
      <c r="A71" s="55" t="s">
        <v>464</v>
      </c>
      <c r="B71" s="56" t="s">
        <v>465</v>
      </c>
      <c r="C71" s="55" t="s">
        <v>466</v>
      </c>
      <c r="D71" s="55" t="s">
        <v>246</v>
      </c>
      <c r="E71" s="55" t="s">
        <v>300</v>
      </c>
    </row>
    <row r="72" spans="1:5" ht="14.4" x14ac:dyDescent="0.25">
      <c r="A72" s="55" t="s">
        <v>467</v>
      </c>
      <c r="B72" s="56" t="s">
        <v>468</v>
      </c>
      <c r="C72" s="55" t="s">
        <v>288</v>
      </c>
      <c r="D72" s="55" t="s">
        <v>306</v>
      </c>
      <c r="E72" s="55" t="s">
        <v>257</v>
      </c>
    </row>
    <row r="73" spans="1:5" ht="14.4" x14ac:dyDescent="0.25">
      <c r="A73" s="55" t="s">
        <v>289</v>
      </c>
      <c r="B73" s="56" t="s">
        <v>469</v>
      </c>
      <c r="C73" s="55" t="s">
        <v>470</v>
      </c>
      <c r="D73" s="55" t="s">
        <v>306</v>
      </c>
      <c r="E73" s="55" t="s">
        <v>343</v>
      </c>
    </row>
    <row r="74" spans="1:5" ht="14.4" x14ac:dyDescent="0.25">
      <c r="A74" s="55" t="s">
        <v>471</v>
      </c>
      <c r="B74" s="56" t="s">
        <v>472</v>
      </c>
      <c r="C74" s="55" t="s">
        <v>441</v>
      </c>
      <c r="D74" s="55" t="s">
        <v>473</v>
      </c>
      <c r="E74" s="55" t="s">
        <v>257</v>
      </c>
    </row>
    <row r="75" spans="1:5" ht="14.4" x14ac:dyDescent="0.25">
      <c r="A75" s="55" t="s">
        <v>474</v>
      </c>
      <c r="B75" s="56" t="s">
        <v>475</v>
      </c>
      <c r="C75" s="55" t="s">
        <v>476</v>
      </c>
      <c r="D75" s="55" t="s">
        <v>306</v>
      </c>
      <c r="E75" s="55" t="s">
        <v>296</v>
      </c>
    </row>
    <row r="76" spans="1:5" ht="14.4" x14ac:dyDescent="0.25">
      <c r="A76" s="55" t="s">
        <v>477</v>
      </c>
      <c r="B76" s="56" t="s">
        <v>478</v>
      </c>
      <c r="C76" s="55" t="s">
        <v>479</v>
      </c>
      <c r="D76" s="55" t="s">
        <v>246</v>
      </c>
      <c r="E76" s="55" t="s">
        <v>332</v>
      </c>
    </row>
    <row r="77" spans="1:5" ht="14.4" x14ac:dyDescent="0.25">
      <c r="A77" s="55" t="s">
        <v>480</v>
      </c>
      <c r="B77" s="56" t="s">
        <v>481</v>
      </c>
      <c r="C77" s="55" t="s">
        <v>448</v>
      </c>
      <c r="D77" s="55" t="s">
        <v>306</v>
      </c>
      <c r="E77" s="55" t="s">
        <v>252</v>
      </c>
    </row>
    <row r="78" spans="1:5" ht="14.4" x14ac:dyDescent="0.25">
      <c r="A78" s="55" t="s">
        <v>482</v>
      </c>
      <c r="B78" s="56" t="s">
        <v>483</v>
      </c>
      <c r="C78" s="55" t="s">
        <v>484</v>
      </c>
      <c r="D78" s="55" t="s">
        <v>306</v>
      </c>
      <c r="E78" s="55" t="s">
        <v>271</v>
      </c>
    </row>
    <row r="79" spans="1:5" ht="14.4" x14ac:dyDescent="0.25">
      <c r="A79" s="55" t="s">
        <v>485</v>
      </c>
      <c r="B79" s="56" t="s">
        <v>486</v>
      </c>
      <c r="C79" s="55" t="s">
        <v>427</v>
      </c>
      <c r="D79" s="55" t="s">
        <v>306</v>
      </c>
      <c r="E79" s="55" t="s">
        <v>257</v>
      </c>
    </row>
    <row r="80" spans="1:5" ht="14.4" x14ac:dyDescent="0.25">
      <c r="A80" s="55" t="s">
        <v>487</v>
      </c>
      <c r="B80" s="56" t="s">
        <v>488</v>
      </c>
      <c r="C80" s="55" t="s">
        <v>448</v>
      </c>
      <c r="D80" s="55" t="s">
        <v>270</v>
      </c>
      <c r="E80" s="55" t="s">
        <v>252</v>
      </c>
    </row>
    <row r="81" spans="1:5" ht="14.4" x14ac:dyDescent="0.25">
      <c r="A81" s="55" t="s">
        <v>489</v>
      </c>
      <c r="B81" s="56" t="s">
        <v>490</v>
      </c>
      <c r="C81" s="55" t="s">
        <v>388</v>
      </c>
      <c r="D81" s="55" t="s">
        <v>270</v>
      </c>
      <c r="E81" s="55" t="s">
        <v>257</v>
      </c>
    </row>
    <row r="82" spans="1:5" ht="14.4" x14ac:dyDescent="0.25">
      <c r="A82" s="55" t="s">
        <v>491</v>
      </c>
      <c r="B82" s="56" t="s">
        <v>492</v>
      </c>
      <c r="C82" s="55" t="s">
        <v>493</v>
      </c>
      <c r="D82" s="55" t="s">
        <v>306</v>
      </c>
      <c r="E82" s="55" t="s">
        <v>494</v>
      </c>
    </row>
    <row r="83" spans="1:5" ht="14.4" x14ac:dyDescent="0.25">
      <c r="A83" s="55" t="s">
        <v>495</v>
      </c>
      <c r="B83" s="55" t="s">
        <v>496</v>
      </c>
      <c r="C83" s="55" t="s">
        <v>497</v>
      </c>
      <c r="D83" s="55" t="s">
        <v>306</v>
      </c>
      <c r="E83" s="55" t="s">
        <v>317</v>
      </c>
    </row>
    <row r="84" spans="1:5" ht="14.4" x14ac:dyDescent="0.25">
      <c r="A84" s="55" t="s">
        <v>498</v>
      </c>
      <c r="B84" s="55" t="s">
        <v>499</v>
      </c>
      <c r="C84" s="55" t="s">
        <v>500</v>
      </c>
      <c r="D84" s="55" t="s">
        <v>377</v>
      </c>
      <c r="E84" s="55" t="s">
        <v>501</v>
      </c>
    </row>
    <row r="85" spans="1:5" ht="14.4" x14ac:dyDescent="0.25">
      <c r="A85" s="55" t="s">
        <v>502</v>
      </c>
      <c r="B85" s="55" t="s">
        <v>503</v>
      </c>
      <c r="C85" s="55" t="s">
        <v>504</v>
      </c>
      <c r="D85" s="55" t="s">
        <v>246</v>
      </c>
      <c r="E85" s="55" t="s">
        <v>257</v>
      </c>
    </row>
    <row r="86" spans="1:5" ht="14.4" x14ac:dyDescent="0.25">
      <c r="A86" s="55" t="s">
        <v>505</v>
      </c>
      <c r="B86" s="55" t="s">
        <v>506</v>
      </c>
      <c r="C86" s="55" t="s">
        <v>305</v>
      </c>
      <c r="D86" s="55" t="s">
        <v>306</v>
      </c>
      <c r="E86" s="55" t="s">
        <v>300</v>
      </c>
    </row>
    <row r="87" spans="1:5" ht="14.4" x14ac:dyDescent="0.25">
      <c r="A87" s="55" t="s">
        <v>507</v>
      </c>
      <c r="B87" s="55" t="s">
        <v>508</v>
      </c>
      <c r="C87" s="55" t="s">
        <v>509</v>
      </c>
      <c r="D87" s="55" t="s">
        <v>306</v>
      </c>
      <c r="E87" s="55" t="s">
        <v>300</v>
      </c>
    </row>
    <row r="88" spans="1:5" ht="14.4" x14ac:dyDescent="0.25">
      <c r="A88" s="55" t="s">
        <v>510</v>
      </c>
      <c r="B88" s="55" t="s">
        <v>511</v>
      </c>
      <c r="C88" s="55" t="s">
        <v>455</v>
      </c>
      <c r="D88" s="55" t="s">
        <v>246</v>
      </c>
      <c r="E88" s="55" t="s">
        <v>300</v>
      </c>
    </row>
    <row r="89" spans="1:5" ht="14.4" x14ac:dyDescent="0.25">
      <c r="A89" s="55" t="s">
        <v>512</v>
      </c>
      <c r="B89" s="55" t="s">
        <v>513</v>
      </c>
      <c r="C89" s="55" t="s">
        <v>514</v>
      </c>
      <c r="D89" s="55" t="s">
        <v>246</v>
      </c>
      <c r="E89" s="55" t="s">
        <v>257</v>
      </c>
    </row>
    <row r="90" spans="1:5" ht="14.4" x14ac:dyDescent="0.25">
      <c r="A90" s="55" t="s">
        <v>515</v>
      </c>
      <c r="B90" s="55" t="s">
        <v>516</v>
      </c>
      <c r="C90" s="55" t="s">
        <v>517</v>
      </c>
      <c r="D90" s="55" t="s">
        <v>237</v>
      </c>
      <c r="E90" s="55" t="s">
        <v>332</v>
      </c>
    </row>
    <row r="91" spans="1:5" ht="14.4" x14ac:dyDescent="0.25">
      <c r="A91" s="55" t="s">
        <v>518</v>
      </c>
      <c r="B91" s="55" t="s">
        <v>519</v>
      </c>
      <c r="C91" s="55" t="s">
        <v>509</v>
      </c>
      <c r="D91" s="55" t="s">
        <v>284</v>
      </c>
      <c r="E91" s="55" t="s">
        <v>300</v>
      </c>
    </row>
    <row r="92" spans="1:5" ht="14.4" x14ac:dyDescent="0.25">
      <c r="A92" s="55" t="s">
        <v>520</v>
      </c>
      <c r="B92" s="55" t="s">
        <v>521</v>
      </c>
      <c r="C92" s="55" t="s">
        <v>466</v>
      </c>
      <c r="D92" s="55" t="s">
        <v>237</v>
      </c>
      <c r="E92" s="55" t="s">
        <v>300</v>
      </c>
    </row>
    <row r="93" spans="1:5" ht="14.4" x14ac:dyDescent="0.25">
      <c r="A93" s="55" t="s">
        <v>522</v>
      </c>
      <c r="B93" s="55" t="s">
        <v>523</v>
      </c>
      <c r="C93" s="55" t="s">
        <v>409</v>
      </c>
      <c r="D93" s="55" t="s">
        <v>270</v>
      </c>
      <c r="E93" s="55" t="s">
        <v>252</v>
      </c>
    </row>
    <row r="94" spans="1:5" ht="14.4" x14ac:dyDescent="0.25">
      <c r="A94" s="55" t="s">
        <v>524</v>
      </c>
      <c r="B94" s="55" t="s">
        <v>525</v>
      </c>
      <c r="C94" s="55" t="s">
        <v>351</v>
      </c>
      <c r="D94" s="55" t="s">
        <v>320</v>
      </c>
      <c r="E94" s="55" t="s">
        <v>332</v>
      </c>
    </row>
    <row r="95" spans="1:5" ht="14.4" x14ac:dyDescent="0.25">
      <c r="A95" s="55" t="s">
        <v>526</v>
      </c>
      <c r="B95" s="55" t="s">
        <v>527</v>
      </c>
      <c r="C95" s="55" t="s">
        <v>528</v>
      </c>
      <c r="D95" s="55" t="s">
        <v>237</v>
      </c>
      <c r="E95" s="55" t="s">
        <v>257</v>
      </c>
    </row>
    <row r="96" spans="1:5" ht="14.4" x14ac:dyDescent="0.25">
      <c r="A96" s="55" t="s">
        <v>530</v>
      </c>
      <c r="B96" s="55" t="s">
        <v>531</v>
      </c>
      <c r="C96" s="55" t="s">
        <v>532</v>
      </c>
      <c r="D96" s="55" t="s">
        <v>306</v>
      </c>
      <c r="E96" s="55" t="s">
        <v>533</v>
      </c>
    </row>
    <row r="97" spans="1:5" ht="14.4" x14ac:dyDescent="0.25">
      <c r="A97" s="55" t="s">
        <v>534</v>
      </c>
      <c r="B97" s="55" t="s">
        <v>535</v>
      </c>
      <c r="C97" s="55" t="s">
        <v>536</v>
      </c>
      <c r="D97" s="55" t="s">
        <v>306</v>
      </c>
      <c r="E97" s="55" t="s">
        <v>252</v>
      </c>
    </row>
    <row r="98" spans="1:5" ht="14.4" x14ac:dyDescent="0.25">
      <c r="A98" s="55" t="s">
        <v>537</v>
      </c>
      <c r="B98" s="55" t="s">
        <v>538</v>
      </c>
      <c r="C98" s="55" t="s">
        <v>476</v>
      </c>
      <c r="D98" s="55" t="s">
        <v>270</v>
      </c>
      <c r="E98" s="55" t="s">
        <v>296</v>
      </c>
    </row>
    <row r="99" spans="1:5" ht="14.4" x14ac:dyDescent="0.25">
      <c r="A99" s="55" t="s">
        <v>539</v>
      </c>
      <c r="B99" s="55" t="s">
        <v>540</v>
      </c>
      <c r="C99" s="55" t="s">
        <v>279</v>
      </c>
      <c r="D99" s="55" t="s">
        <v>270</v>
      </c>
      <c r="E99" s="55" t="s">
        <v>257</v>
      </c>
    </row>
    <row r="100" spans="1:5" ht="14.4" x14ac:dyDescent="0.25">
      <c r="A100" s="55" t="s">
        <v>541</v>
      </c>
      <c r="B100" s="55" t="s">
        <v>542</v>
      </c>
      <c r="C100" s="55" t="s">
        <v>455</v>
      </c>
      <c r="D100" s="55" t="s">
        <v>237</v>
      </c>
      <c r="E100" s="55" t="s">
        <v>300</v>
      </c>
    </row>
    <row r="101" spans="1:5" ht="14.4" x14ac:dyDescent="0.25">
      <c r="A101" s="55" t="s">
        <v>543</v>
      </c>
      <c r="B101" s="55" t="s">
        <v>544</v>
      </c>
      <c r="C101" s="55" t="s">
        <v>326</v>
      </c>
      <c r="D101" s="55" t="s">
        <v>270</v>
      </c>
      <c r="E101" s="55" t="s">
        <v>300</v>
      </c>
    </row>
    <row r="102" spans="1:5" ht="14.4" x14ac:dyDescent="0.25">
      <c r="A102" s="55" t="s">
        <v>545</v>
      </c>
      <c r="B102" s="55" t="s">
        <v>546</v>
      </c>
      <c r="C102" s="55" t="s">
        <v>279</v>
      </c>
      <c r="D102" s="55" t="s">
        <v>270</v>
      </c>
      <c r="E102" s="55" t="s">
        <v>257</v>
      </c>
    </row>
    <row r="103" spans="1:5" ht="14.4" x14ac:dyDescent="0.25">
      <c r="A103" s="55" t="s">
        <v>547</v>
      </c>
      <c r="B103" s="55" t="s">
        <v>548</v>
      </c>
      <c r="C103" s="55" t="s">
        <v>484</v>
      </c>
      <c r="D103" s="55" t="s">
        <v>306</v>
      </c>
      <c r="E103" s="55" t="s">
        <v>271</v>
      </c>
    </row>
    <row r="104" spans="1:5" ht="14.4" x14ac:dyDescent="0.25">
      <c r="A104" s="55" t="s">
        <v>549</v>
      </c>
      <c r="B104" s="55" t="s">
        <v>550</v>
      </c>
      <c r="C104" s="55" t="s">
        <v>517</v>
      </c>
      <c r="D104" s="55" t="s">
        <v>270</v>
      </c>
      <c r="E104" s="55" t="s">
        <v>332</v>
      </c>
    </row>
    <row r="105" spans="1:5" ht="14.4" x14ac:dyDescent="0.25">
      <c r="A105" s="55" t="s">
        <v>551</v>
      </c>
      <c r="B105" s="55" t="s">
        <v>552</v>
      </c>
      <c r="C105" s="55" t="s">
        <v>553</v>
      </c>
      <c r="D105" s="55" t="s">
        <v>306</v>
      </c>
      <c r="E105" s="55" t="s">
        <v>378</v>
      </c>
    </row>
    <row r="106" spans="1:5" ht="14.4" x14ac:dyDescent="0.25">
      <c r="A106" s="55" t="s">
        <v>554</v>
      </c>
      <c r="B106" s="55" t="s">
        <v>555</v>
      </c>
      <c r="C106" s="55" t="s">
        <v>438</v>
      </c>
      <c r="D106" s="55" t="s">
        <v>270</v>
      </c>
      <c r="E106" s="55" t="s">
        <v>252</v>
      </c>
    </row>
    <row r="107" spans="1:5" ht="14.4" x14ac:dyDescent="0.25">
      <c r="A107" s="55" t="s">
        <v>556</v>
      </c>
      <c r="B107" s="55" t="s">
        <v>557</v>
      </c>
      <c r="C107" s="55" t="s">
        <v>383</v>
      </c>
      <c r="D107" s="55" t="s">
        <v>246</v>
      </c>
      <c r="E107" s="55" t="s">
        <v>252</v>
      </c>
    </row>
    <row r="108" spans="1:5" ht="14.4" x14ac:dyDescent="0.25">
      <c r="A108" s="55" t="s">
        <v>558</v>
      </c>
      <c r="B108" s="55" t="s">
        <v>559</v>
      </c>
      <c r="C108" s="55" t="s">
        <v>448</v>
      </c>
      <c r="D108" s="55" t="s">
        <v>270</v>
      </c>
      <c r="E108" s="55" t="s">
        <v>252</v>
      </c>
    </row>
    <row r="109" spans="1:5" ht="14.4" x14ac:dyDescent="0.25">
      <c r="A109" s="55" t="s">
        <v>560</v>
      </c>
      <c r="B109" s="55" t="s">
        <v>561</v>
      </c>
      <c r="C109" s="55" t="s">
        <v>562</v>
      </c>
      <c r="D109" s="55" t="s">
        <v>306</v>
      </c>
      <c r="E109" s="55" t="s">
        <v>332</v>
      </c>
    </row>
    <row r="110" spans="1:5" ht="14.4" x14ac:dyDescent="0.25">
      <c r="A110" s="55" t="s">
        <v>563</v>
      </c>
      <c r="B110" s="55" t="s">
        <v>564</v>
      </c>
      <c r="C110" s="55" t="s">
        <v>565</v>
      </c>
      <c r="D110" s="55" t="s">
        <v>320</v>
      </c>
      <c r="E110" s="55" t="s">
        <v>257</v>
      </c>
    </row>
    <row r="111" spans="1:5" ht="14.4" x14ac:dyDescent="0.25">
      <c r="A111" s="55" t="s">
        <v>566</v>
      </c>
      <c r="B111" s="55" t="s">
        <v>567</v>
      </c>
      <c r="C111" s="55" t="s">
        <v>568</v>
      </c>
      <c r="D111" s="55" t="s">
        <v>270</v>
      </c>
      <c r="E111" s="55" t="s">
        <v>257</v>
      </c>
    </row>
    <row r="112" spans="1:5" ht="14.4" x14ac:dyDescent="0.25">
      <c r="A112" s="55" t="s">
        <v>569</v>
      </c>
      <c r="B112" s="55" t="s">
        <v>570</v>
      </c>
      <c r="C112" s="55" t="s">
        <v>441</v>
      </c>
      <c r="D112" s="55" t="s">
        <v>236</v>
      </c>
      <c r="E112" s="55" t="s">
        <v>257</v>
      </c>
    </row>
    <row r="113" spans="1:5" ht="14.4" x14ac:dyDescent="0.25">
      <c r="A113" s="55" t="s">
        <v>571</v>
      </c>
      <c r="B113" s="55" t="s">
        <v>572</v>
      </c>
      <c r="C113" s="55" t="s">
        <v>288</v>
      </c>
      <c r="D113" s="55" t="s">
        <v>270</v>
      </c>
      <c r="E113" s="55" t="s">
        <v>257</v>
      </c>
    </row>
    <row r="114" spans="1:5" ht="14.4" x14ac:dyDescent="0.25">
      <c r="A114" s="55" t="s">
        <v>573</v>
      </c>
      <c r="B114" s="55" t="s">
        <v>574</v>
      </c>
      <c r="C114" s="55" t="s">
        <v>514</v>
      </c>
      <c r="D114" s="55" t="s">
        <v>320</v>
      </c>
      <c r="E114" s="55" t="s">
        <v>257</v>
      </c>
    </row>
    <row r="115" spans="1:5" ht="14.4" x14ac:dyDescent="0.25">
      <c r="A115" s="55" t="s">
        <v>577</v>
      </c>
      <c r="B115" s="55" t="s">
        <v>578</v>
      </c>
      <c r="C115" s="55" t="s">
        <v>579</v>
      </c>
      <c r="D115" s="55" t="s">
        <v>270</v>
      </c>
      <c r="E115" s="55" t="s">
        <v>533</v>
      </c>
    </row>
    <row r="116" spans="1:5" ht="14.4" x14ac:dyDescent="0.25">
      <c r="A116" s="55" t="s">
        <v>580</v>
      </c>
      <c r="B116" s="55" t="s">
        <v>581</v>
      </c>
      <c r="C116" s="55" t="s">
        <v>582</v>
      </c>
      <c r="D116" s="55" t="s">
        <v>237</v>
      </c>
      <c r="E116" s="55" t="s">
        <v>257</v>
      </c>
    </row>
    <row r="117" spans="1:5" ht="14.4" x14ac:dyDescent="0.25">
      <c r="A117" s="55" t="s">
        <v>583</v>
      </c>
      <c r="B117" s="55" t="s">
        <v>584</v>
      </c>
      <c r="C117" s="55" t="s">
        <v>514</v>
      </c>
      <c r="D117" s="55" t="s">
        <v>306</v>
      </c>
      <c r="E117" s="55" t="s">
        <v>257</v>
      </c>
    </row>
    <row r="118" spans="1:5" ht="14.4" x14ac:dyDescent="0.25">
      <c r="A118" s="55" t="s">
        <v>585</v>
      </c>
      <c r="B118" s="55" t="s">
        <v>586</v>
      </c>
      <c r="C118" s="55" t="s">
        <v>288</v>
      </c>
      <c r="D118" s="55" t="s">
        <v>473</v>
      </c>
      <c r="E118" s="55" t="s">
        <v>257</v>
      </c>
    </row>
    <row r="119" spans="1:5" ht="14.4" x14ac:dyDescent="0.25">
      <c r="A119" s="55" t="s">
        <v>587</v>
      </c>
      <c r="B119" s="55" t="s">
        <v>588</v>
      </c>
      <c r="C119" s="55" t="s">
        <v>589</v>
      </c>
      <c r="D119" s="55" t="s">
        <v>306</v>
      </c>
      <c r="E119" s="55" t="s">
        <v>533</v>
      </c>
    </row>
    <row r="120" spans="1:5" ht="14.4" x14ac:dyDescent="0.25">
      <c r="A120" s="55" t="s">
        <v>590</v>
      </c>
      <c r="B120" s="55" t="s">
        <v>591</v>
      </c>
      <c r="C120" s="55" t="s">
        <v>528</v>
      </c>
      <c r="D120" s="55" t="s">
        <v>270</v>
      </c>
      <c r="E120" s="55" t="s">
        <v>257</v>
      </c>
    </row>
    <row r="121" spans="1:5" ht="14.4" x14ac:dyDescent="0.25">
      <c r="A121" s="55" t="s">
        <v>592</v>
      </c>
      <c r="B121" s="55" t="s">
        <v>593</v>
      </c>
      <c r="C121" s="55" t="s">
        <v>383</v>
      </c>
      <c r="D121" s="55" t="s">
        <v>270</v>
      </c>
      <c r="E121" s="55" t="s">
        <v>252</v>
      </c>
    </row>
    <row r="122" spans="1:5" ht="14.4" x14ac:dyDescent="0.25">
      <c r="A122" s="55" t="s">
        <v>594</v>
      </c>
      <c r="B122" s="55" t="s">
        <v>595</v>
      </c>
      <c r="C122" s="55" t="s">
        <v>288</v>
      </c>
      <c r="D122" s="55" t="s">
        <v>306</v>
      </c>
      <c r="E122" s="55" t="s">
        <v>257</v>
      </c>
    </row>
    <row r="123" spans="1:5" ht="14.4" x14ac:dyDescent="0.25">
      <c r="A123" s="55" t="s">
        <v>597</v>
      </c>
      <c r="B123" s="55" t="s">
        <v>598</v>
      </c>
      <c r="C123" s="55" t="s">
        <v>427</v>
      </c>
      <c r="D123" s="55" t="s">
        <v>377</v>
      </c>
      <c r="E123" s="55" t="s">
        <v>257</v>
      </c>
    </row>
    <row r="124" spans="1:5" ht="14.4" x14ac:dyDescent="0.25">
      <c r="A124" s="55" t="s">
        <v>599</v>
      </c>
      <c r="B124" s="55" t="s">
        <v>600</v>
      </c>
      <c r="C124" s="55" t="s">
        <v>601</v>
      </c>
      <c r="D124" s="55" t="s">
        <v>270</v>
      </c>
      <c r="E124" s="55" t="s">
        <v>296</v>
      </c>
    </row>
    <row r="125" spans="1:5" ht="14.4" x14ac:dyDescent="0.25">
      <c r="A125" s="55" t="s">
        <v>602</v>
      </c>
      <c r="B125" s="55" t="s">
        <v>603</v>
      </c>
      <c r="C125" s="55" t="s">
        <v>279</v>
      </c>
      <c r="D125" s="55" t="s">
        <v>246</v>
      </c>
      <c r="E125" s="55" t="s">
        <v>257</v>
      </c>
    </row>
    <row r="126" spans="1:5" ht="14.4" x14ac:dyDescent="0.25">
      <c r="A126" s="55" t="s">
        <v>604</v>
      </c>
      <c r="B126" s="55" t="s">
        <v>605</v>
      </c>
      <c r="C126" s="55" t="s">
        <v>606</v>
      </c>
      <c r="D126" s="55" t="s">
        <v>237</v>
      </c>
      <c r="E126" s="55" t="s">
        <v>367</v>
      </c>
    </row>
    <row r="127" spans="1:5" ht="14.4" x14ac:dyDescent="0.25">
      <c r="A127" s="55" t="s">
        <v>607</v>
      </c>
      <c r="B127" s="55" t="s">
        <v>608</v>
      </c>
      <c r="C127" s="55" t="s">
        <v>335</v>
      </c>
      <c r="D127" s="55" t="s">
        <v>270</v>
      </c>
      <c r="E127" s="55" t="s">
        <v>252</v>
      </c>
    </row>
    <row r="128" spans="1:5" ht="14.4" x14ac:dyDescent="0.25">
      <c r="A128" s="55" t="s">
        <v>609</v>
      </c>
      <c r="B128" s="55" t="s">
        <v>610</v>
      </c>
      <c r="C128" s="55" t="s">
        <v>611</v>
      </c>
      <c r="D128" s="55" t="s">
        <v>377</v>
      </c>
      <c r="E128" s="55" t="s">
        <v>257</v>
      </c>
    </row>
    <row r="129" spans="1:5" ht="14.4" x14ac:dyDescent="0.25">
      <c r="A129" s="55" t="s">
        <v>612</v>
      </c>
      <c r="B129" s="55" t="s">
        <v>613</v>
      </c>
      <c r="C129" s="55" t="s">
        <v>614</v>
      </c>
      <c r="D129" s="55" t="s">
        <v>270</v>
      </c>
      <c r="E129" s="55" t="s">
        <v>367</v>
      </c>
    </row>
    <row r="130" spans="1:5" ht="14.4" x14ac:dyDescent="0.25">
      <c r="A130" s="55" t="s">
        <v>615</v>
      </c>
      <c r="B130" s="55" t="s">
        <v>616</v>
      </c>
      <c r="C130" s="55" t="s">
        <v>295</v>
      </c>
      <c r="D130" s="55" t="s">
        <v>246</v>
      </c>
      <c r="E130" s="55" t="s">
        <v>296</v>
      </c>
    </row>
    <row r="131" spans="1:5" ht="14.4" x14ac:dyDescent="0.25">
      <c r="A131" s="55" t="s">
        <v>617</v>
      </c>
      <c r="B131" s="55" t="s">
        <v>618</v>
      </c>
      <c r="C131" s="55" t="s">
        <v>388</v>
      </c>
      <c r="D131" s="55" t="s">
        <v>246</v>
      </c>
      <c r="E131" s="55" t="s">
        <v>257</v>
      </c>
    </row>
    <row r="132" spans="1:5" ht="14.4" x14ac:dyDescent="0.25">
      <c r="A132" s="55" t="s">
        <v>621</v>
      </c>
      <c r="B132" s="55" t="s">
        <v>622</v>
      </c>
      <c r="C132" s="55" t="s">
        <v>623</v>
      </c>
      <c r="D132" s="55" t="s">
        <v>246</v>
      </c>
      <c r="E132" s="55" t="s">
        <v>367</v>
      </c>
    </row>
    <row r="133" spans="1:5" ht="14.4" x14ac:dyDescent="0.25">
      <c r="A133" s="55" t="s">
        <v>624</v>
      </c>
      <c r="B133" s="55" t="s">
        <v>625</v>
      </c>
      <c r="C133" s="55" t="s">
        <v>626</v>
      </c>
      <c r="D133" s="55" t="s">
        <v>236</v>
      </c>
      <c r="E133" s="55" t="s">
        <v>296</v>
      </c>
    </row>
    <row r="134" spans="1:5" ht="14.4" x14ac:dyDescent="0.25">
      <c r="A134" s="55" t="s">
        <v>627</v>
      </c>
      <c r="B134" s="55" t="s">
        <v>628</v>
      </c>
      <c r="C134" s="55" t="s">
        <v>316</v>
      </c>
      <c r="D134" s="55" t="s">
        <v>246</v>
      </c>
      <c r="E134" s="55" t="s">
        <v>317</v>
      </c>
    </row>
    <row r="135" spans="1:5" ht="14.4" x14ac:dyDescent="0.25">
      <c r="A135" s="55" t="s">
        <v>629</v>
      </c>
      <c r="B135" s="55" t="s">
        <v>630</v>
      </c>
      <c r="C135" s="55" t="s">
        <v>363</v>
      </c>
      <c r="D135" s="55" t="s">
        <v>270</v>
      </c>
      <c r="E135" s="55" t="s">
        <v>296</v>
      </c>
    </row>
    <row r="136" spans="1:5" ht="14.4" x14ac:dyDescent="0.25">
      <c r="A136" s="55" t="s">
        <v>631</v>
      </c>
      <c r="B136" s="55" t="s">
        <v>632</v>
      </c>
      <c r="C136" s="55" t="s">
        <v>433</v>
      </c>
      <c r="D136" s="55" t="s">
        <v>246</v>
      </c>
      <c r="E136" s="55" t="s">
        <v>317</v>
      </c>
    </row>
    <row r="137" spans="1:5" ht="14.4" x14ac:dyDescent="0.25">
      <c r="A137" s="55" t="s">
        <v>633</v>
      </c>
      <c r="B137" s="55" t="s">
        <v>634</v>
      </c>
      <c r="C137" s="55" t="s">
        <v>635</v>
      </c>
      <c r="D137" s="55" t="s">
        <v>270</v>
      </c>
      <c r="E137" s="55" t="s">
        <v>367</v>
      </c>
    </row>
    <row r="138" spans="1:5" ht="14.4" x14ac:dyDescent="0.25">
      <c r="A138" s="55" t="s">
        <v>645</v>
      </c>
      <c r="B138" s="55" t="s">
        <v>646</v>
      </c>
      <c r="C138" s="55" t="s">
        <v>351</v>
      </c>
      <c r="D138" s="55" t="s">
        <v>246</v>
      </c>
      <c r="E138" s="55" t="s">
        <v>332</v>
      </c>
    </row>
    <row r="139" spans="1:5" ht="14.4" x14ac:dyDescent="0.25">
      <c r="A139" s="55" t="s">
        <v>653</v>
      </c>
      <c r="B139" s="55" t="s">
        <v>654</v>
      </c>
      <c r="C139" s="55" t="s">
        <v>441</v>
      </c>
      <c r="D139" s="55" t="s">
        <v>270</v>
      </c>
      <c r="E139" s="55" t="s">
        <v>257</v>
      </c>
    </row>
    <row r="140" spans="1:5" ht="14.4" x14ac:dyDescent="0.25">
      <c r="A140" s="55" t="s">
        <v>659</v>
      </c>
      <c r="B140" s="55" t="s">
        <v>660</v>
      </c>
      <c r="C140" s="55" t="s">
        <v>626</v>
      </c>
      <c r="D140" s="55" t="s">
        <v>237</v>
      </c>
      <c r="E140" s="55" t="s">
        <v>296</v>
      </c>
    </row>
    <row r="141" spans="1:5" ht="14.4" x14ac:dyDescent="0.25">
      <c r="A141" s="55" t="s">
        <v>661</v>
      </c>
      <c r="B141" s="55" t="s">
        <v>662</v>
      </c>
      <c r="C141" s="55" t="s">
        <v>663</v>
      </c>
      <c r="D141" s="55" t="s">
        <v>270</v>
      </c>
      <c r="E141" s="55" t="s">
        <v>332</v>
      </c>
    </row>
    <row r="142" spans="1:5" ht="14.4" x14ac:dyDescent="0.25">
      <c r="A142" s="55" t="s">
        <v>668</v>
      </c>
      <c r="B142" s="55" t="s">
        <v>669</v>
      </c>
      <c r="C142" s="55" t="s">
        <v>452</v>
      </c>
      <c r="D142" s="55" t="s">
        <v>270</v>
      </c>
      <c r="E142" s="55" t="s">
        <v>252</v>
      </c>
    </row>
    <row r="143" spans="1:5" ht="14.4" x14ac:dyDescent="0.25">
      <c r="A143" s="55" t="s">
        <v>702</v>
      </c>
      <c r="B143" s="55" t="s">
        <v>703</v>
      </c>
      <c r="C143" s="55" t="s">
        <v>351</v>
      </c>
      <c r="D143" s="55" t="s">
        <v>270</v>
      </c>
      <c r="E143" s="55" t="s">
        <v>332</v>
      </c>
    </row>
    <row r="144" spans="1:5" ht="14.4" x14ac:dyDescent="0.25">
      <c r="A144" s="55" t="s">
        <v>704</v>
      </c>
      <c r="B144" s="55" t="s">
        <v>705</v>
      </c>
      <c r="C144" s="55" t="s">
        <v>514</v>
      </c>
      <c r="D144" s="55" t="s">
        <v>270</v>
      </c>
      <c r="E144" s="55" t="s">
        <v>257</v>
      </c>
    </row>
    <row r="145" spans="1:5" ht="14.4" x14ac:dyDescent="0.25">
      <c r="A145" s="55" t="s">
        <v>706</v>
      </c>
      <c r="B145" s="55" t="s">
        <v>707</v>
      </c>
      <c r="C145" s="55" t="s">
        <v>466</v>
      </c>
      <c r="D145" s="55" t="s">
        <v>270</v>
      </c>
      <c r="E145" s="55" t="s">
        <v>300</v>
      </c>
    </row>
    <row r="146" spans="1:5" ht="14.4" x14ac:dyDescent="0.25">
      <c r="A146" s="55" t="s">
        <v>708</v>
      </c>
      <c r="B146" s="55" t="s">
        <v>709</v>
      </c>
      <c r="C146" s="55" t="s">
        <v>710</v>
      </c>
      <c r="D146" s="55" t="s">
        <v>306</v>
      </c>
      <c r="E146" s="55" t="s">
        <v>501</v>
      </c>
    </row>
    <row r="147" spans="1:5" ht="14.4" x14ac:dyDescent="0.25">
      <c r="A147" s="55" t="s">
        <v>711</v>
      </c>
      <c r="B147" s="55" t="s">
        <v>712</v>
      </c>
      <c r="C147" s="55" t="s">
        <v>295</v>
      </c>
      <c r="D147" s="55" t="s">
        <v>306</v>
      </c>
      <c r="E147" s="55" t="s">
        <v>296</v>
      </c>
    </row>
    <row r="148" spans="1:5" ht="14.4" x14ac:dyDescent="0.25">
      <c r="A148" s="55" t="s">
        <v>713</v>
      </c>
      <c r="B148" s="55" t="s">
        <v>714</v>
      </c>
      <c r="C148" s="55" t="s">
        <v>715</v>
      </c>
      <c r="D148" s="55" t="s">
        <v>306</v>
      </c>
      <c r="E148" s="55" t="s">
        <v>300</v>
      </c>
    </row>
    <row r="149" spans="1:5" ht="14.4" x14ac:dyDescent="0.25">
      <c r="A149" s="55" t="s">
        <v>716</v>
      </c>
      <c r="B149" s="55" t="s">
        <v>717</v>
      </c>
      <c r="C149" s="55" t="s">
        <v>718</v>
      </c>
      <c r="D149" s="55" t="s">
        <v>306</v>
      </c>
      <c r="E149" s="55" t="s">
        <v>292</v>
      </c>
    </row>
    <row r="150" spans="1:5" ht="14.4" x14ac:dyDescent="0.25">
      <c r="A150" s="55" t="s">
        <v>719</v>
      </c>
      <c r="B150" s="55" t="s">
        <v>720</v>
      </c>
      <c r="C150" s="55" t="s">
        <v>305</v>
      </c>
      <c r="D150" s="55" t="s">
        <v>306</v>
      </c>
      <c r="E150" s="55" t="s">
        <v>300</v>
      </c>
    </row>
    <row r="151" spans="1:5" ht="14.4" x14ac:dyDescent="0.25">
      <c r="A151" s="55" t="s">
        <v>721</v>
      </c>
      <c r="B151" s="55" t="s">
        <v>722</v>
      </c>
      <c r="C151" s="55" t="s">
        <v>640</v>
      </c>
      <c r="D151" s="55" t="s">
        <v>306</v>
      </c>
      <c r="E151" s="55" t="s">
        <v>367</v>
      </c>
    </row>
    <row r="152" spans="1:5" ht="14.4" x14ac:dyDescent="0.25">
      <c r="A152" s="55" t="s">
        <v>723</v>
      </c>
      <c r="B152" s="55" t="s">
        <v>724</v>
      </c>
      <c r="C152" s="55" t="s">
        <v>725</v>
      </c>
      <c r="D152" s="55" t="s">
        <v>270</v>
      </c>
      <c r="E152" s="55" t="s">
        <v>367</v>
      </c>
    </row>
    <row r="153" spans="1:5" ht="14.4" x14ac:dyDescent="0.25">
      <c r="A153" s="55" t="s">
        <v>727</v>
      </c>
      <c r="B153" s="55" t="s">
        <v>728</v>
      </c>
      <c r="C153" s="55" t="s">
        <v>611</v>
      </c>
      <c r="D153" s="55" t="s">
        <v>270</v>
      </c>
      <c r="E153" s="55" t="s">
        <v>257</v>
      </c>
    </row>
    <row r="154" spans="1:5" ht="14.4" x14ac:dyDescent="0.25">
      <c r="A154" s="55" t="s">
        <v>729</v>
      </c>
      <c r="B154" s="55" t="s">
        <v>730</v>
      </c>
      <c r="C154" s="55" t="s">
        <v>614</v>
      </c>
      <c r="D154" s="55" t="s">
        <v>246</v>
      </c>
      <c r="E154" s="55" t="s">
        <v>367</v>
      </c>
    </row>
    <row r="155" spans="1:5" ht="14.4" x14ac:dyDescent="0.25">
      <c r="A155" s="55" t="s">
        <v>731</v>
      </c>
      <c r="B155" s="55" t="s">
        <v>732</v>
      </c>
      <c r="C155" s="55" t="s">
        <v>733</v>
      </c>
      <c r="D155" s="55" t="s">
        <v>237</v>
      </c>
      <c r="E155" s="55" t="s">
        <v>367</v>
      </c>
    </row>
    <row r="156" spans="1:5" ht="14.4" x14ac:dyDescent="0.25">
      <c r="A156" s="55" t="s">
        <v>734</v>
      </c>
      <c r="B156" s="55" t="s">
        <v>735</v>
      </c>
      <c r="C156" s="55" t="s">
        <v>736</v>
      </c>
      <c r="D156" s="55" t="s">
        <v>246</v>
      </c>
      <c r="E156" s="55" t="s">
        <v>501</v>
      </c>
    </row>
    <row r="157" spans="1:5" ht="14.4" x14ac:dyDescent="0.25">
      <c r="A157" s="55" t="s">
        <v>737</v>
      </c>
      <c r="B157" s="55" t="s">
        <v>738</v>
      </c>
      <c r="C157" s="55" t="s">
        <v>383</v>
      </c>
      <c r="D157" s="55" t="s">
        <v>320</v>
      </c>
      <c r="E157" s="55" t="s">
        <v>252</v>
      </c>
    </row>
    <row r="158" spans="1:5" ht="14.4" x14ac:dyDescent="0.25">
      <c r="A158" s="55" t="s">
        <v>739</v>
      </c>
      <c r="B158" s="55" t="s">
        <v>740</v>
      </c>
      <c r="C158" s="55" t="s">
        <v>455</v>
      </c>
      <c r="D158" s="55" t="s">
        <v>270</v>
      </c>
      <c r="E158" s="55" t="s">
        <v>300</v>
      </c>
    </row>
    <row r="159" spans="1:5" ht="14.4" x14ac:dyDescent="0.25">
      <c r="A159" s="55" t="s">
        <v>742</v>
      </c>
      <c r="B159" s="55" t="s">
        <v>743</v>
      </c>
      <c r="C159" s="55" t="s">
        <v>288</v>
      </c>
      <c r="D159" s="55" t="s">
        <v>246</v>
      </c>
      <c r="E159" s="55" t="s">
        <v>257</v>
      </c>
    </row>
    <row r="160" spans="1:5" ht="14.4" x14ac:dyDescent="0.25">
      <c r="A160" s="55" t="s">
        <v>744</v>
      </c>
      <c r="B160" s="55" t="s">
        <v>745</v>
      </c>
      <c r="C160" s="55" t="s">
        <v>448</v>
      </c>
      <c r="D160" s="55" t="s">
        <v>270</v>
      </c>
      <c r="E160" s="55" t="s">
        <v>252</v>
      </c>
    </row>
    <row r="161" spans="1:5" ht="14.4" x14ac:dyDescent="0.25">
      <c r="A161" s="55" t="s">
        <v>746</v>
      </c>
      <c r="B161" s="55" t="s">
        <v>747</v>
      </c>
      <c r="C161" s="55" t="s">
        <v>388</v>
      </c>
      <c r="D161" s="55" t="s">
        <v>270</v>
      </c>
      <c r="E161" s="55" t="s">
        <v>257</v>
      </c>
    </row>
    <row r="162" spans="1:5" ht="14.4" x14ac:dyDescent="0.25">
      <c r="A162" s="55" t="s">
        <v>748</v>
      </c>
      <c r="B162" s="55" t="s">
        <v>749</v>
      </c>
      <c r="C162" s="55" t="s">
        <v>288</v>
      </c>
      <c r="D162" s="55" t="s">
        <v>246</v>
      </c>
      <c r="E162" s="55" t="s">
        <v>257</v>
      </c>
    </row>
    <row r="163" spans="1:5" ht="14.4" x14ac:dyDescent="0.25">
      <c r="A163" s="55" t="s">
        <v>750</v>
      </c>
      <c r="B163" s="55" t="s">
        <v>751</v>
      </c>
      <c r="C163" s="55" t="s">
        <v>312</v>
      </c>
      <c r="D163" s="55" t="s">
        <v>246</v>
      </c>
      <c r="E163" s="55" t="s">
        <v>313</v>
      </c>
    </row>
    <row r="164" spans="1:5" ht="14.4" x14ac:dyDescent="0.25">
      <c r="A164" s="55" t="s">
        <v>752</v>
      </c>
      <c r="B164" s="55" t="s">
        <v>753</v>
      </c>
      <c r="C164" s="55" t="s">
        <v>754</v>
      </c>
      <c r="D164" s="55" t="s">
        <v>246</v>
      </c>
      <c r="E164" s="55" t="s">
        <v>367</v>
      </c>
    </row>
    <row r="165" spans="1:5" ht="14.4" x14ac:dyDescent="0.25">
      <c r="A165" s="55" t="s">
        <v>756</v>
      </c>
      <c r="B165" s="55" t="s">
        <v>757</v>
      </c>
      <c r="C165" s="55" t="s">
        <v>466</v>
      </c>
      <c r="D165" s="55" t="s">
        <v>246</v>
      </c>
      <c r="E165" s="55" t="s">
        <v>300</v>
      </c>
    </row>
    <row r="166" spans="1:5" ht="14.4" x14ac:dyDescent="0.25">
      <c r="A166" s="55" t="s">
        <v>758</v>
      </c>
      <c r="B166" s="55" t="s">
        <v>759</v>
      </c>
      <c r="C166" s="55" t="s">
        <v>528</v>
      </c>
      <c r="D166" s="55" t="s">
        <v>237</v>
      </c>
      <c r="E166" s="55" t="s">
        <v>257</v>
      </c>
    </row>
    <row r="167" spans="1:5" ht="14.4" x14ac:dyDescent="0.25">
      <c r="A167" s="55" t="s">
        <v>760</v>
      </c>
      <c r="B167" s="55" t="s">
        <v>761</v>
      </c>
      <c r="C167" s="55" t="s">
        <v>448</v>
      </c>
      <c r="D167" s="55" t="s">
        <v>246</v>
      </c>
      <c r="E167" s="55" t="s">
        <v>252</v>
      </c>
    </row>
    <row r="168" spans="1:5" ht="14.4" x14ac:dyDescent="0.25">
      <c r="A168" s="55" t="s">
        <v>762</v>
      </c>
      <c r="B168" s="55" t="s">
        <v>763</v>
      </c>
      <c r="C168" s="55" t="s">
        <v>448</v>
      </c>
      <c r="D168" s="55" t="s">
        <v>270</v>
      </c>
      <c r="E168" s="55" t="s">
        <v>252</v>
      </c>
    </row>
    <row r="169" spans="1:5" ht="14.4" x14ac:dyDescent="0.25">
      <c r="A169" s="55" t="s">
        <v>764</v>
      </c>
      <c r="B169" s="55" t="s">
        <v>765</v>
      </c>
      <c r="C169" s="55" t="s">
        <v>626</v>
      </c>
      <c r="D169" s="55" t="s">
        <v>246</v>
      </c>
      <c r="E169" s="55" t="s">
        <v>296</v>
      </c>
    </row>
    <row r="170" spans="1:5" ht="14.4" x14ac:dyDescent="0.25">
      <c r="A170" s="55" t="s">
        <v>766</v>
      </c>
      <c r="B170" s="55" t="s">
        <v>767</v>
      </c>
      <c r="C170" s="55" t="s">
        <v>626</v>
      </c>
      <c r="D170" s="55" t="s">
        <v>246</v>
      </c>
      <c r="E170" s="55" t="s">
        <v>296</v>
      </c>
    </row>
    <row r="171" spans="1:5" ht="14.4" x14ac:dyDescent="0.25">
      <c r="A171" s="55" t="s">
        <v>768</v>
      </c>
      <c r="B171" s="55" t="s">
        <v>769</v>
      </c>
      <c r="C171" s="55" t="s">
        <v>528</v>
      </c>
      <c r="D171" s="55" t="s">
        <v>246</v>
      </c>
      <c r="E171" s="55" t="s">
        <v>257</v>
      </c>
    </row>
    <row r="172" spans="1:5" ht="14.4" x14ac:dyDescent="0.25">
      <c r="A172" s="55" t="s">
        <v>770</v>
      </c>
      <c r="B172" s="55" t="s">
        <v>771</v>
      </c>
      <c r="C172" s="55" t="s">
        <v>363</v>
      </c>
      <c r="D172" s="55" t="s">
        <v>246</v>
      </c>
      <c r="E172" s="55" t="s">
        <v>296</v>
      </c>
    </row>
    <row r="173" spans="1:5" ht="14.4" x14ac:dyDescent="0.25">
      <c r="A173" s="55" t="s">
        <v>772</v>
      </c>
      <c r="B173" s="55" t="s">
        <v>773</v>
      </c>
      <c r="C173" s="55" t="s">
        <v>528</v>
      </c>
      <c r="D173" s="55" t="s">
        <v>270</v>
      </c>
      <c r="E173" s="55" t="s">
        <v>257</v>
      </c>
    </row>
    <row r="174" spans="1:5" ht="14.4" x14ac:dyDescent="0.25">
      <c r="A174" s="55" t="s">
        <v>774</v>
      </c>
      <c r="B174" s="55" t="s">
        <v>775</v>
      </c>
      <c r="C174" s="55" t="s">
        <v>776</v>
      </c>
      <c r="D174" s="55" t="s">
        <v>246</v>
      </c>
      <c r="E174" s="55" t="s">
        <v>533</v>
      </c>
    </row>
    <row r="175" spans="1:5" ht="14.4" x14ac:dyDescent="0.25">
      <c r="A175" s="55" t="s">
        <v>777</v>
      </c>
      <c r="B175" s="55" t="s">
        <v>778</v>
      </c>
      <c r="C175" s="55" t="s">
        <v>514</v>
      </c>
      <c r="D175" s="55" t="s">
        <v>246</v>
      </c>
      <c r="E175" s="55" t="s">
        <v>257</v>
      </c>
    </row>
    <row r="176" spans="1:5" ht="14.4" x14ac:dyDescent="0.25">
      <c r="A176" s="55" t="s">
        <v>779</v>
      </c>
      <c r="B176" s="55" t="s">
        <v>780</v>
      </c>
      <c r="C176" s="55" t="s">
        <v>781</v>
      </c>
      <c r="D176" s="55" t="s">
        <v>270</v>
      </c>
      <c r="E176" s="55" t="s">
        <v>257</v>
      </c>
    </row>
    <row r="177" spans="1:5" ht="14.4" x14ac:dyDescent="0.25">
      <c r="A177" s="55" t="s">
        <v>782</v>
      </c>
      <c r="B177" s="55" t="s">
        <v>783</v>
      </c>
      <c r="C177" s="55" t="s">
        <v>784</v>
      </c>
      <c r="D177" s="55" t="s">
        <v>270</v>
      </c>
      <c r="E177" s="55" t="s">
        <v>271</v>
      </c>
    </row>
    <row r="178" spans="1:5" ht="14.4" x14ac:dyDescent="0.25">
      <c r="A178" s="55" t="s">
        <v>785</v>
      </c>
      <c r="B178" s="55" t="s">
        <v>786</v>
      </c>
      <c r="C178" s="55" t="s">
        <v>351</v>
      </c>
      <c r="D178" s="55" t="s">
        <v>237</v>
      </c>
      <c r="E178" s="55" t="s">
        <v>332</v>
      </c>
    </row>
    <row r="179" spans="1:5" ht="14.4" x14ac:dyDescent="0.25">
      <c r="A179" s="55" t="s">
        <v>787</v>
      </c>
      <c r="B179" s="55" t="s">
        <v>788</v>
      </c>
      <c r="C179" s="55" t="s">
        <v>789</v>
      </c>
      <c r="D179" s="55" t="s">
        <v>246</v>
      </c>
      <c r="E179" s="55" t="s">
        <v>367</v>
      </c>
    </row>
    <row r="180" spans="1:5" ht="14.4" x14ac:dyDescent="0.25">
      <c r="A180" s="55" t="s">
        <v>790</v>
      </c>
      <c r="B180" s="55" t="s">
        <v>791</v>
      </c>
      <c r="C180" s="55" t="s">
        <v>792</v>
      </c>
      <c r="D180" s="55" t="s">
        <v>320</v>
      </c>
      <c r="E180" s="55" t="s">
        <v>257</v>
      </c>
    </row>
    <row r="181" spans="1:5" ht="14.4" x14ac:dyDescent="0.25">
      <c r="A181" s="55" t="s">
        <v>793</v>
      </c>
      <c r="B181" s="55" t="s">
        <v>794</v>
      </c>
      <c r="C181" s="55" t="s">
        <v>665</v>
      </c>
      <c r="D181" s="55" t="s">
        <v>246</v>
      </c>
      <c r="E181" s="55" t="s">
        <v>257</v>
      </c>
    </row>
    <row r="182" spans="1:5" ht="14.4" x14ac:dyDescent="0.25">
      <c r="A182" s="55" t="s">
        <v>795</v>
      </c>
      <c r="B182" s="55" t="s">
        <v>796</v>
      </c>
      <c r="C182" s="55" t="s">
        <v>295</v>
      </c>
      <c r="D182" s="55" t="s">
        <v>270</v>
      </c>
      <c r="E182" s="55" t="s">
        <v>296</v>
      </c>
    </row>
    <row r="183" spans="1:5" ht="14.4" x14ac:dyDescent="0.25">
      <c r="A183" s="55" t="s">
        <v>797</v>
      </c>
      <c r="B183" s="55" t="s">
        <v>798</v>
      </c>
      <c r="C183" s="55" t="s">
        <v>288</v>
      </c>
      <c r="D183" s="55" t="s">
        <v>246</v>
      </c>
      <c r="E183" s="55" t="s">
        <v>257</v>
      </c>
    </row>
    <row r="184" spans="1:5" ht="14.4" x14ac:dyDescent="0.25">
      <c r="A184" s="55" t="s">
        <v>799</v>
      </c>
      <c r="B184" s="55" t="s">
        <v>800</v>
      </c>
      <c r="C184" s="55" t="s">
        <v>801</v>
      </c>
      <c r="D184" s="55" t="s">
        <v>449</v>
      </c>
      <c r="E184" s="55" t="s">
        <v>296</v>
      </c>
    </row>
    <row r="185" spans="1:5" ht="14.4" x14ac:dyDescent="0.25">
      <c r="A185" s="55" t="s">
        <v>802</v>
      </c>
      <c r="B185" s="55" t="s">
        <v>803</v>
      </c>
      <c r="C185" s="55" t="s">
        <v>479</v>
      </c>
      <c r="D185" s="55" t="s">
        <v>246</v>
      </c>
      <c r="E185" s="55" t="s">
        <v>332</v>
      </c>
    </row>
    <row r="186" spans="1:5" ht="14.4" x14ac:dyDescent="0.25">
      <c r="A186" s="55" t="s">
        <v>805</v>
      </c>
      <c r="B186" s="55" t="s">
        <v>806</v>
      </c>
      <c r="C186" s="55" t="s">
        <v>614</v>
      </c>
      <c r="D186" s="55" t="s">
        <v>270</v>
      </c>
      <c r="E186" s="55" t="s">
        <v>367</v>
      </c>
    </row>
    <row r="187" spans="1:5" ht="14.4" x14ac:dyDescent="0.25">
      <c r="A187" s="55" t="s">
        <v>807</v>
      </c>
      <c r="B187" s="55" t="s">
        <v>808</v>
      </c>
      <c r="C187" s="55" t="s">
        <v>455</v>
      </c>
      <c r="D187" s="55" t="s">
        <v>284</v>
      </c>
      <c r="E187" s="55" t="s">
        <v>300</v>
      </c>
    </row>
    <row r="188" spans="1:5" ht="14.4" x14ac:dyDescent="0.25">
      <c r="A188" s="55" t="s">
        <v>809</v>
      </c>
      <c r="B188" s="55" t="s">
        <v>810</v>
      </c>
      <c r="C188" s="55" t="s">
        <v>611</v>
      </c>
      <c r="D188" s="55" t="s">
        <v>237</v>
      </c>
      <c r="E188" s="55" t="s">
        <v>257</v>
      </c>
    </row>
    <row r="189" spans="1:5" ht="14.4" x14ac:dyDescent="0.25">
      <c r="A189" s="55" t="s">
        <v>811</v>
      </c>
      <c r="B189" s="55" t="s">
        <v>812</v>
      </c>
      <c r="C189" s="55" t="s">
        <v>328</v>
      </c>
      <c r="D189" s="55" t="s">
        <v>237</v>
      </c>
      <c r="E189" s="55" t="s">
        <v>252</v>
      </c>
    </row>
    <row r="190" spans="1:5" ht="14.4" x14ac:dyDescent="0.25">
      <c r="A190" s="55" t="s">
        <v>813</v>
      </c>
      <c r="B190" s="55" t="s">
        <v>814</v>
      </c>
      <c r="C190" s="55" t="s">
        <v>448</v>
      </c>
      <c r="D190" s="55" t="s">
        <v>270</v>
      </c>
      <c r="E190" s="55" t="s">
        <v>252</v>
      </c>
    </row>
    <row r="191" spans="1:5" ht="14.4" x14ac:dyDescent="0.25">
      <c r="A191" s="55" t="s">
        <v>815</v>
      </c>
      <c r="B191" s="55" t="s">
        <v>816</v>
      </c>
      <c r="C191" s="55" t="s">
        <v>817</v>
      </c>
      <c r="D191" s="55" t="s">
        <v>270</v>
      </c>
      <c r="E191" s="55" t="s">
        <v>313</v>
      </c>
    </row>
    <row r="192" spans="1:5" ht="14.4" x14ac:dyDescent="0.25">
      <c r="A192" s="55" t="s">
        <v>818</v>
      </c>
      <c r="B192" s="55" t="s">
        <v>819</v>
      </c>
      <c r="C192" s="55" t="s">
        <v>288</v>
      </c>
      <c r="D192" s="55" t="s">
        <v>270</v>
      </c>
      <c r="E192" s="55" t="s">
        <v>257</v>
      </c>
    </row>
    <row r="193" spans="1:5" ht="14.4" x14ac:dyDescent="0.25">
      <c r="A193" s="55" t="s">
        <v>820</v>
      </c>
      <c r="B193" s="55" t="s">
        <v>821</v>
      </c>
      <c r="C193" s="55" t="s">
        <v>822</v>
      </c>
      <c r="D193" s="55" t="s">
        <v>246</v>
      </c>
      <c r="E193" s="55" t="s">
        <v>339</v>
      </c>
    </row>
    <row r="194" spans="1:5" ht="14.4" x14ac:dyDescent="0.25">
      <c r="A194" s="55" t="s">
        <v>823</v>
      </c>
      <c r="B194" s="55" t="s">
        <v>824</v>
      </c>
      <c r="C194" s="55" t="s">
        <v>288</v>
      </c>
      <c r="D194" s="55" t="s">
        <v>270</v>
      </c>
      <c r="E194" s="55" t="s">
        <v>257</v>
      </c>
    </row>
    <row r="195" spans="1:5" ht="14.4" x14ac:dyDescent="0.25">
      <c r="A195" s="55" t="s">
        <v>825</v>
      </c>
      <c r="B195" s="55" t="s">
        <v>826</v>
      </c>
      <c r="C195" s="55" t="s">
        <v>305</v>
      </c>
      <c r="D195" s="55" t="s">
        <v>270</v>
      </c>
      <c r="E195" s="55" t="s">
        <v>300</v>
      </c>
    </row>
    <row r="196" spans="1:5" ht="14.4" x14ac:dyDescent="0.25">
      <c r="A196" s="55" t="s">
        <v>827</v>
      </c>
      <c r="B196" s="55" t="s">
        <v>828</v>
      </c>
      <c r="C196" s="55" t="s">
        <v>288</v>
      </c>
      <c r="D196" s="55" t="s">
        <v>246</v>
      </c>
      <c r="E196" s="55" t="s">
        <v>257</v>
      </c>
    </row>
    <row r="197" spans="1:5" ht="14.4" x14ac:dyDescent="0.25">
      <c r="A197" s="55" t="s">
        <v>829</v>
      </c>
      <c r="B197" s="55" t="s">
        <v>830</v>
      </c>
      <c r="C197" s="55" t="s">
        <v>466</v>
      </c>
      <c r="D197" s="55" t="s">
        <v>246</v>
      </c>
      <c r="E197" s="55" t="s">
        <v>300</v>
      </c>
    </row>
    <row r="198" spans="1:5" ht="14.4" x14ac:dyDescent="0.25">
      <c r="A198" s="55" t="s">
        <v>831</v>
      </c>
      <c r="B198" s="55" t="s">
        <v>832</v>
      </c>
      <c r="C198" s="55" t="s">
        <v>256</v>
      </c>
      <c r="D198" s="55" t="s">
        <v>237</v>
      </c>
      <c r="E198" s="55" t="s">
        <v>257</v>
      </c>
    </row>
    <row r="199" spans="1:5" ht="14.4" x14ac:dyDescent="0.25">
      <c r="A199" s="55" t="s">
        <v>833</v>
      </c>
      <c r="B199" s="55" t="s">
        <v>834</v>
      </c>
      <c r="C199" s="55" t="s">
        <v>835</v>
      </c>
      <c r="D199" s="55" t="s">
        <v>246</v>
      </c>
      <c r="E199" s="55" t="s">
        <v>292</v>
      </c>
    </row>
    <row r="200" spans="1:5" ht="14.4" x14ac:dyDescent="0.25">
      <c r="A200" s="55" t="s">
        <v>836</v>
      </c>
      <c r="B200" s="55" t="s">
        <v>837</v>
      </c>
      <c r="C200" s="55" t="s">
        <v>695</v>
      </c>
      <c r="D200" s="55" t="s">
        <v>236</v>
      </c>
      <c r="E200" s="55" t="s">
        <v>332</v>
      </c>
    </row>
    <row r="201" spans="1:5" ht="14.4" x14ac:dyDescent="0.25">
      <c r="A201" s="55" t="s">
        <v>838</v>
      </c>
      <c r="B201" s="55" t="s">
        <v>839</v>
      </c>
      <c r="C201" s="55" t="s">
        <v>840</v>
      </c>
      <c r="D201" s="55" t="s">
        <v>270</v>
      </c>
      <c r="E201" s="55" t="s">
        <v>271</v>
      </c>
    </row>
    <row r="202" spans="1:5" ht="14.4" x14ac:dyDescent="0.25">
      <c r="A202" s="55" t="s">
        <v>841</v>
      </c>
      <c r="B202" s="55" t="s">
        <v>842</v>
      </c>
      <c r="C202" s="55" t="s">
        <v>438</v>
      </c>
      <c r="D202" s="55" t="s">
        <v>246</v>
      </c>
      <c r="E202" s="55" t="s">
        <v>252</v>
      </c>
    </row>
    <row r="203" spans="1:5" ht="14.4" x14ac:dyDescent="0.25">
      <c r="A203" s="55" t="s">
        <v>843</v>
      </c>
      <c r="B203" s="55" t="s">
        <v>844</v>
      </c>
      <c r="C203" s="55" t="s">
        <v>614</v>
      </c>
      <c r="D203" s="55" t="s">
        <v>246</v>
      </c>
      <c r="E203" s="55" t="s">
        <v>367</v>
      </c>
    </row>
    <row r="204" spans="1:5" ht="14.4" x14ac:dyDescent="0.25">
      <c r="A204" s="55" t="s">
        <v>845</v>
      </c>
      <c r="B204" s="55" t="s">
        <v>846</v>
      </c>
      <c r="C204" s="55" t="s">
        <v>517</v>
      </c>
      <c r="D204" s="55" t="s">
        <v>377</v>
      </c>
      <c r="E204" s="55" t="s">
        <v>332</v>
      </c>
    </row>
    <row r="205" spans="1:5" ht="14.4" x14ac:dyDescent="0.25">
      <c r="A205" s="55" t="s">
        <v>847</v>
      </c>
      <c r="B205" s="55" t="s">
        <v>848</v>
      </c>
      <c r="C205" s="55" t="s">
        <v>383</v>
      </c>
      <c r="D205" s="55" t="s">
        <v>270</v>
      </c>
      <c r="E205" s="55" t="s">
        <v>252</v>
      </c>
    </row>
    <row r="206" spans="1:5" ht="14.4" x14ac:dyDescent="0.25">
      <c r="A206" s="55" t="s">
        <v>849</v>
      </c>
      <c r="B206" s="55" t="s">
        <v>850</v>
      </c>
      <c r="C206" s="55" t="s">
        <v>851</v>
      </c>
      <c r="D206" s="55" t="s">
        <v>246</v>
      </c>
      <c r="E206" s="55" t="s">
        <v>252</v>
      </c>
    </row>
    <row r="207" spans="1:5" ht="14.4" x14ac:dyDescent="0.25">
      <c r="A207" s="55" t="s">
        <v>852</v>
      </c>
      <c r="B207" s="55" t="s">
        <v>853</v>
      </c>
      <c r="C207" s="55" t="s">
        <v>383</v>
      </c>
      <c r="D207" s="55" t="s">
        <v>270</v>
      </c>
      <c r="E207" s="55" t="s">
        <v>252</v>
      </c>
    </row>
    <row r="208" spans="1:5" ht="14.4" x14ac:dyDescent="0.25">
      <c r="A208" s="55" t="s">
        <v>854</v>
      </c>
      <c r="B208" s="55" t="s">
        <v>855</v>
      </c>
      <c r="C208" s="55" t="s">
        <v>691</v>
      </c>
      <c r="D208" s="55" t="s">
        <v>270</v>
      </c>
      <c r="E208" s="55" t="s">
        <v>271</v>
      </c>
    </row>
    <row r="209" spans="1:5" ht="14.4" x14ac:dyDescent="0.25">
      <c r="A209" s="55" t="s">
        <v>856</v>
      </c>
      <c r="B209" s="55" t="s">
        <v>857</v>
      </c>
      <c r="C209" s="55" t="s">
        <v>514</v>
      </c>
      <c r="D209" s="55" t="s">
        <v>237</v>
      </c>
      <c r="E209" s="55" t="s">
        <v>257</v>
      </c>
    </row>
    <row r="210" spans="1:5" ht="14.4" x14ac:dyDescent="0.25">
      <c r="A210" s="55" t="s">
        <v>858</v>
      </c>
      <c r="B210" s="55" t="s">
        <v>859</v>
      </c>
      <c r="C210" s="55" t="s">
        <v>295</v>
      </c>
      <c r="D210" s="55" t="s">
        <v>246</v>
      </c>
      <c r="E210" s="55" t="s">
        <v>296</v>
      </c>
    </row>
    <row r="211" spans="1:5" ht="14.4" x14ac:dyDescent="0.25">
      <c r="A211" s="55" t="s">
        <v>860</v>
      </c>
      <c r="B211" s="55" t="s">
        <v>861</v>
      </c>
      <c r="C211" s="55" t="s">
        <v>448</v>
      </c>
      <c r="D211" s="55" t="s">
        <v>246</v>
      </c>
      <c r="E211" s="55" t="s">
        <v>252</v>
      </c>
    </row>
    <row r="212" spans="1:5" ht="14.4" x14ac:dyDescent="0.25">
      <c r="A212" s="55" t="s">
        <v>862</v>
      </c>
      <c r="B212" s="55" t="s">
        <v>863</v>
      </c>
      <c r="C212" s="55" t="s">
        <v>388</v>
      </c>
      <c r="D212" s="55" t="s">
        <v>320</v>
      </c>
      <c r="E212" s="55" t="s">
        <v>257</v>
      </c>
    </row>
    <row r="213" spans="1:5" ht="14.4" x14ac:dyDescent="0.25">
      <c r="A213" s="55" t="s">
        <v>864</v>
      </c>
      <c r="B213" s="55" t="s">
        <v>865</v>
      </c>
      <c r="C213" s="55" t="s">
        <v>427</v>
      </c>
      <c r="D213" s="55" t="s">
        <v>246</v>
      </c>
      <c r="E213" s="55" t="s">
        <v>257</v>
      </c>
    </row>
    <row r="214" spans="1:5" ht="14.4" x14ac:dyDescent="0.25">
      <c r="A214" s="55" t="s">
        <v>866</v>
      </c>
      <c r="B214" s="55" t="s">
        <v>867</v>
      </c>
      <c r="C214" s="55" t="s">
        <v>328</v>
      </c>
      <c r="D214" s="55" t="s">
        <v>246</v>
      </c>
      <c r="E214" s="55" t="s">
        <v>252</v>
      </c>
    </row>
    <row r="215" spans="1:5" ht="14.4" x14ac:dyDescent="0.25">
      <c r="A215" s="55" t="s">
        <v>868</v>
      </c>
      <c r="B215" s="55" t="s">
        <v>869</v>
      </c>
      <c r="C215" s="55" t="s">
        <v>438</v>
      </c>
      <c r="D215" s="55" t="s">
        <v>246</v>
      </c>
      <c r="E215" s="55" t="s">
        <v>252</v>
      </c>
    </row>
    <row r="216" spans="1:5" ht="14.4" x14ac:dyDescent="0.25">
      <c r="A216" s="55" t="s">
        <v>870</v>
      </c>
      <c r="B216" s="55" t="s">
        <v>871</v>
      </c>
      <c r="C216" s="55" t="s">
        <v>872</v>
      </c>
      <c r="D216" s="55" t="s">
        <v>246</v>
      </c>
      <c r="E216" s="55" t="s">
        <v>252</v>
      </c>
    </row>
    <row r="217" spans="1:5" ht="14.4" x14ac:dyDescent="0.25">
      <c r="A217" s="55" t="s">
        <v>873</v>
      </c>
      <c r="B217" s="55" t="s">
        <v>874</v>
      </c>
      <c r="C217" s="55" t="s">
        <v>589</v>
      </c>
      <c r="D217" s="55" t="s">
        <v>246</v>
      </c>
      <c r="E217" s="55" t="s">
        <v>533</v>
      </c>
    </row>
    <row r="218" spans="1:5" ht="14.4" x14ac:dyDescent="0.25">
      <c r="A218" s="55" t="s">
        <v>875</v>
      </c>
      <c r="B218" s="55" t="s">
        <v>876</v>
      </c>
      <c r="C218" s="55" t="s">
        <v>877</v>
      </c>
      <c r="D218" s="55" t="s">
        <v>246</v>
      </c>
      <c r="E218" s="55" t="s">
        <v>292</v>
      </c>
    </row>
    <row r="219" spans="1:5" ht="14.4" x14ac:dyDescent="0.25">
      <c r="A219" s="55" t="s">
        <v>878</v>
      </c>
      <c r="B219" s="55" t="s">
        <v>879</v>
      </c>
      <c r="C219" s="55" t="s">
        <v>466</v>
      </c>
      <c r="D219" s="55" t="s">
        <v>246</v>
      </c>
      <c r="E219" s="55" t="s">
        <v>300</v>
      </c>
    </row>
    <row r="220" spans="1:5" ht="14.4" x14ac:dyDescent="0.25">
      <c r="A220" s="55" t="s">
        <v>880</v>
      </c>
      <c r="B220" s="55" t="s">
        <v>881</v>
      </c>
      <c r="C220" s="55" t="s">
        <v>626</v>
      </c>
      <c r="D220" s="55" t="s">
        <v>237</v>
      </c>
      <c r="E220" s="55" t="s">
        <v>296</v>
      </c>
    </row>
    <row r="221" spans="1:5" ht="14.4" x14ac:dyDescent="0.25">
      <c r="A221" s="55" t="s">
        <v>882</v>
      </c>
      <c r="B221" s="55" t="s">
        <v>883</v>
      </c>
      <c r="C221" s="55" t="s">
        <v>884</v>
      </c>
      <c r="D221" s="55" t="s">
        <v>246</v>
      </c>
      <c r="E221" s="55" t="s">
        <v>343</v>
      </c>
    </row>
    <row r="222" spans="1:5" ht="14.4" x14ac:dyDescent="0.25">
      <c r="A222" s="55" t="s">
        <v>885</v>
      </c>
      <c r="B222" s="55" t="s">
        <v>886</v>
      </c>
      <c r="C222" s="55" t="s">
        <v>383</v>
      </c>
      <c r="D222" s="55" t="s">
        <v>246</v>
      </c>
      <c r="E222" s="55" t="s">
        <v>252</v>
      </c>
    </row>
    <row r="223" spans="1:5" ht="14.4" x14ac:dyDescent="0.25">
      <c r="A223" s="55" t="s">
        <v>887</v>
      </c>
      <c r="B223" s="55" t="s">
        <v>888</v>
      </c>
      <c r="C223" s="55" t="s">
        <v>427</v>
      </c>
      <c r="D223" s="55" t="s">
        <v>246</v>
      </c>
      <c r="E223" s="55" t="s">
        <v>257</v>
      </c>
    </row>
    <row r="224" spans="1:5" ht="14.4" x14ac:dyDescent="0.25">
      <c r="A224" s="55" t="s">
        <v>889</v>
      </c>
      <c r="B224" s="55" t="s">
        <v>890</v>
      </c>
      <c r="C224" s="55" t="s">
        <v>441</v>
      </c>
      <c r="D224" s="55" t="s">
        <v>270</v>
      </c>
      <c r="E224" s="55" t="s">
        <v>257</v>
      </c>
    </row>
    <row r="225" spans="1:5" ht="14.4" x14ac:dyDescent="0.25">
      <c r="A225" s="55" t="s">
        <v>891</v>
      </c>
      <c r="B225" s="55" t="s">
        <v>892</v>
      </c>
      <c r="C225" s="55" t="s">
        <v>640</v>
      </c>
      <c r="D225" s="55" t="s">
        <v>270</v>
      </c>
      <c r="E225" s="55" t="s">
        <v>367</v>
      </c>
    </row>
    <row r="226" spans="1:5" ht="14.4" x14ac:dyDescent="0.25">
      <c r="A226" s="55" t="s">
        <v>893</v>
      </c>
      <c r="B226" s="55" t="s">
        <v>894</v>
      </c>
      <c r="C226" s="55" t="s">
        <v>288</v>
      </c>
      <c r="D226" s="55" t="s">
        <v>237</v>
      </c>
      <c r="E226" s="55" t="s">
        <v>257</v>
      </c>
    </row>
    <row r="227" spans="1:5" ht="14.4" x14ac:dyDescent="0.25">
      <c r="A227" s="55" t="s">
        <v>895</v>
      </c>
      <c r="B227" s="55" t="s">
        <v>896</v>
      </c>
      <c r="C227" s="55" t="s">
        <v>897</v>
      </c>
      <c r="D227" s="55" t="s">
        <v>237</v>
      </c>
      <c r="E227" s="55" t="s">
        <v>367</v>
      </c>
    </row>
    <row r="228" spans="1:5" ht="14.4" x14ac:dyDescent="0.25">
      <c r="A228" s="55" t="s">
        <v>898</v>
      </c>
      <c r="B228" s="55" t="s">
        <v>899</v>
      </c>
      <c r="C228" s="55" t="s">
        <v>640</v>
      </c>
      <c r="D228" s="55" t="s">
        <v>246</v>
      </c>
      <c r="E228" s="55" t="s">
        <v>367</v>
      </c>
    </row>
    <row r="229" spans="1:5" ht="14.4" x14ac:dyDescent="0.25">
      <c r="A229" s="55" t="s">
        <v>900</v>
      </c>
      <c r="B229" s="55" t="s">
        <v>901</v>
      </c>
      <c r="C229" s="55" t="s">
        <v>736</v>
      </c>
      <c r="D229" s="55" t="s">
        <v>246</v>
      </c>
      <c r="E229" s="55" t="s">
        <v>501</v>
      </c>
    </row>
    <row r="230" spans="1:5" ht="14.4" x14ac:dyDescent="0.25">
      <c r="A230" s="55" t="s">
        <v>902</v>
      </c>
      <c r="B230" s="55" t="s">
        <v>903</v>
      </c>
      <c r="C230" s="55" t="s">
        <v>295</v>
      </c>
      <c r="D230" s="55" t="s">
        <v>270</v>
      </c>
      <c r="E230" s="55" t="s">
        <v>296</v>
      </c>
    </row>
    <row r="231" spans="1:5" ht="14.4" x14ac:dyDescent="0.25">
      <c r="A231" s="55" t="s">
        <v>904</v>
      </c>
      <c r="B231" s="55" t="s">
        <v>905</v>
      </c>
      <c r="C231" s="55" t="s">
        <v>611</v>
      </c>
      <c r="D231" s="55" t="s">
        <v>237</v>
      </c>
      <c r="E231" s="55" t="s">
        <v>257</v>
      </c>
    </row>
    <row r="232" spans="1:5" ht="14.4" x14ac:dyDescent="0.25">
      <c r="A232" s="55" t="s">
        <v>906</v>
      </c>
      <c r="B232" s="55" t="s">
        <v>907</v>
      </c>
      <c r="C232" s="55" t="s">
        <v>626</v>
      </c>
      <c r="D232" s="55" t="s">
        <v>306</v>
      </c>
      <c r="E232" s="55" t="s">
        <v>296</v>
      </c>
    </row>
    <row r="233" spans="1:5" ht="14.4" x14ac:dyDescent="0.25">
      <c r="A233" s="55" t="s">
        <v>908</v>
      </c>
      <c r="B233" s="55" t="s">
        <v>909</v>
      </c>
      <c r="C233" s="55" t="s">
        <v>448</v>
      </c>
      <c r="D233" s="55" t="s">
        <v>449</v>
      </c>
      <c r="E233" s="55" t="s">
        <v>252</v>
      </c>
    </row>
    <row r="234" spans="1:5" ht="14.4" x14ac:dyDescent="0.25">
      <c r="A234" s="55" t="s">
        <v>910</v>
      </c>
      <c r="B234" s="55" t="s">
        <v>911</v>
      </c>
      <c r="C234" s="55" t="s">
        <v>912</v>
      </c>
      <c r="D234" s="55" t="s">
        <v>246</v>
      </c>
      <c r="E234" s="55" t="s">
        <v>300</v>
      </c>
    </row>
    <row r="235" spans="1:5" ht="14.4" x14ac:dyDescent="0.25">
      <c r="A235" s="55" t="s">
        <v>913</v>
      </c>
      <c r="B235" s="55" t="s">
        <v>914</v>
      </c>
      <c r="C235" s="55" t="s">
        <v>915</v>
      </c>
      <c r="D235" s="55" t="s">
        <v>237</v>
      </c>
      <c r="E235" s="55" t="s">
        <v>257</v>
      </c>
    </row>
    <row r="236" spans="1:5" ht="14.4" x14ac:dyDescent="0.25">
      <c r="A236" s="55" t="s">
        <v>916</v>
      </c>
      <c r="B236" s="55" t="s">
        <v>917</v>
      </c>
      <c r="C236" s="55" t="s">
        <v>335</v>
      </c>
      <c r="D236" s="55" t="s">
        <v>237</v>
      </c>
      <c r="E236" s="55" t="s">
        <v>252</v>
      </c>
    </row>
    <row r="237" spans="1:5" ht="14.4" x14ac:dyDescent="0.25">
      <c r="A237" s="55" t="s">
        <v>918</v>
      </c>
      <c r="B237" s="55" t="s">
        <v>919</v>
      </c>
      <c r="C237" s="55" t="s">
        <v>915</v>
      </c>
      <c r="D237" s="55" t="s">
        <v>270</v>
      </c>
      <c r="E237" s="55" t="s">
        <v>257</v>
      </c>
    </row>
    <row r="238" spans="1:5" ht="14.4" x14ac:dyDescent="0.25">
      <c r="A238" s="55" t="s">
        <v>920</v>
      </c>
      <c r="B238" s="55" t="s">
        <v>921</v>
      </c>
      <c r="C238" s="55" t="s">
        <v>528</v>
      </c>
      <c r="D238" s="55" t="s">
        <v>270</v>
      </c>
      <c r="E238" s="55" t="s">
        <v>257</v>
      </c>
    </row>
    <row r="239" spans="1:5" ht="14.4" x14ac:dyDescent="0.25">
      <c r="A239" s="55" t="s">
        <v>922</v>
      </c>
      <c r="B239" s="55" t="s">
        <v>923</v>
      </c>
      <c r="C239" s="55" t="s">
        <v>725</v>
      </c>
      <c r="D239" s="55" t="s">
        <v>270</v>
      </c>
      <c r="E239" s="55" t="s">
        <v>367</v>
      </c>
    </row>
    <row r="240" spans="1:5" ht="14.4" x14ac:dyDescent="0.25">
      <c r="A240" s="55" t="s">
        <v>924</v>
      </c>
      <c r="B240" s="55" t="s">
        <v>925</v>
      </c>
      <c r="C240" s="55" t="s">
        <v>295</v>
      </c>
      <c r="D240" s="55" t="s">
        <v>270</v>
      </c>
      <c r="E240" s="55" t="s">
        <v>296</v>
      </c>
    </row>
    <row r="241" spans="1:5" ht="14.4" x14ac:dyDescent="0.25">
      <c r="A241" s="55" t="s">
        <v>926</v>
      </c>
      <c r="B241" s="55" t="s">
        <v>927</v>
      </c>
      <c r="C241" s="55" t="s">
        <v>872</v>
      </c>
      <c r="D241" s="55" t="s">
        <v>270</v>
      </c>
      <c r="E241" s="55" t="s">
        <v>252</v>
      </c>
    </row>
    <row r="242" spans="1:5" ht="14.4" x14ac:dyDescent="0.25">
      <c r="A242" s="55" t="s">
        <v>928</v>
      </c>
      <c r="B242" s="55" t="s">
        <v>929</v>
      </c>
      <c r="C242" s="55" t="s">
        <v>656</v>
      </c>
      <c r="D242" s="55" t="s">
        <v>270</v>
      </c>
      <c r="E242" s="55" t="s">
        <v>285</v>
      </c>
    </row>
    <row r="243" spans="1:5" ht="14.4" x14ac:dyDescent="0.25">
      <c r="A243" s="55" t="s">
        <v>930</v>
      </c>
      <c r="B243" s="55" t="s">
        <v>931</v>
      </c>
      <c r="C243" s="55" t="s">
        <v>801</v>
      </c>
      <c r="D243" s="55" t="s">
        <v>237</v>
      </c>
      <c r="E243" s="55" t="s">
        <v>296</v>
      </c>
    </row>
    <row r="244" spans="1:5" ht="14.4" x14ac:dyDescent="0.25">
      <c r="A244" s="55" t="s">
        <v>932</v>
      </c>
      <c r="B244" s="55" t="s">
        <v>933</v>
      </c>
      <c r="C244" s="55" t="s">
        <v>514</v>
      </c>
      <c r="D244" s="55" t="s">
        <v>246</v>
      </c>
      <c r="E244" s="55" t="s">
        <v>257</v>
      </c>
    </row>
    <row r="245" spans="1:5" ht="14.4" x14ac:dyDescent="0.25">
      <c r="A245" s="55" t="s">
        <v>934</v>
      </c>
      <c r="B245" s="55" t="s">
        <v>935</v>
      </c>
      <c r="C245" s="55" t="s">
        <v>514</v>
      </c>
      <c r="D245" s="55" t="s">
        <v>246</v>
      </c>
      <c r="E245" s="55" t="s">
        <v>257</v>
      </c>
    </row>
    <row r="246" spans="1:5" ht="14.4" x14ac:dyDescent="0.25">
      <c r="A246" s="55" t="s">
        <v>936</v>
      </c>
      <c r="B246" s="55" t="s">
        <v>937</v>
      </c>
      <c r="C246" s="55" t="s">
        <v>288</v>
      </c>
      <c r="D246" s="55" t="s">
        <v>270</v>
      </c>
      <c r="E246" s="55" t="s">
        <v>257</v>
      </c>
    </row>
    <row r="247" spans="1:5" ht="14.4" x14ac:dyDescent="0.25">
      <c r="A247" s="55" t="s">
        <v>938</v>
      </c>
      <c r="B247" s="55" t="s">
        <v>939</v>
      </c>
      <c r="C247" s="55" t="s">
        <v>553</v>
      </c>
      <c r="D247" s="55" t="s">
        <v>473</v>
      </c>
      <c r="E247" s="55" t="s">
        <v>378</v>
      </c>
    </row>
    <row r="248" spans="1:5" ht="14.4" x14ac:dyDescent="0.25">
      <c r="A248" s="55" t="s">
        <v>940</v>
      </c>
      <c r="B248" s="55" t="s">
        <v>941</v>
      </c>
      <c r="C248" s="55" t="s">
        <v>733</v>
      </c>
      <c r="D248" s="55" t="s">
        <v>320</v>
      </c>
      <c r="E248" s="55" t="s">
        <v>367</v>
      </c>
    </row>
    <row r="249" spans="1:5" ht="14.4" x14ac:dyDescent="0.25">
      <c r="A249" s="55" t="s">
        <v>942</v>
      </c>
      <c r="B249" s="55" t="s">
        <v>943</v>
      </c>
      <c r="C249" s="55" t="s">
        <v>466</v>
      </c>
      <c r="D249" s="55" t="s">
        <v>270</v>
      </c>
      <c r="E249" s="55" t="s">
        <v>300</v>
      </c>
    </row>
    <row r="250" spans="1:5" ht="14.4" x14ac:dyDescent="0.25">
      <c r="A250" s="55" t="s">
        <v>944</v>
      </c>
      <c r="B250" s="55" t="s">
        <v>945</v>
      </c>
      <c r="C250" s="55" t="s">
        <v>288</v>
      </c>
      <c r="D250" s="55" t="s">
        <v>270</v>
      </c>
      <c r="E250" s="55" t="s">
        <v>257</v>
      </c>
    </row>
    <row r="251" spans="1:5" ht="14.4" x14ac:dyDescent="0.25">
      <c r="A251" s="55" t="s">
        <v>946</v>
      </c>
      <c r="B251" s="55" t="s">
        <v>947</v>
      </c>
      <c r="C251" s="55" t="s">
        <v>448</v>
      </c>
      <c r="D251" s="55" t="s">
        <v>270</v>
      </c>
      <c r="E251" s="55" t="s">
        <v>252</v>
      </c>
    </row>
    <row r="252" spans="1:5" ht="14.4" x14ac:dyDescent="0.25">
      <c r="A252" s="55" t="s">
        <v>948</v>
      </c>
      <c r="B252" s="55" t="s">
        <v>949</v>
      </c>
      <c r="C252" s="55" t="s">
        <v>950</v>
      </c>
      <c r="D252" s="55" t="s">
        <v>246</v>
      </c>
      <c r="E252" s="55" t="s">
        <v>257</v>
      </c>
    </row>
    <row r="253" spans="1:5" ht="14.4" x14ac:dyDescent="0.25">
      <c r="A253" s="55" t="s">
        <v>951</v>
      </c>
      <c r="B253" s="55" t="s">
        <v>952</v>
      </c>
      <c r="C253" s="55" t="s">
        <v>953</v>
      </c>
      <c r="D253" s="55" t="s">
        <v>246</v>
      </c>
      <c r="E253" s="55" t="s">
        <v>285</v>
      </c>
    </row>
    <row r="254" spans="1:5" ht="14.4" x14ac:dyDescent="0.25">
      <c r="A254" s="55" t="s">
        <v>954</v>
      </c>
      <c r="B254" s="55" t="s">
        <v>955</v>
      </c>
      <c r="C254" s="55" t="s">
        <v>279</v>
      </c>
      <c r="D254" s="55" t="s">
        <v>246</v>
      </c>
      <c r="E254" s="55" t="s">
        <v>257</v>
      </c>
    </row>
    <row r="255" spans="1:5" ht="14.4" x14ac:dyDescent="0.25">
      <c r="A255" s="55" t="s">
        <v>956</v>
      </c>
      <c r="B255" s="55" t="s">
        <v>957</v>
      </c>
      <c r="C255" s="55" t="s">
        <v>528</v>
      </c>
      <c r="D255" s="55" t="s">
        <v>246</v>
      </c>
      <c r="E255" s="55" t="s">
        <v>257</v>
      </c>
    </row>
    <row r="256" spans="1:5" ht="14.4" x14ac:dyDescent="0.25">
      <c r="A256" s="55" t="s">
        <v>958</v>
      </c>
      <c r="B256" s="55" t="s">
        <v>959</v>
      </c>
      <c r="C256" s="55" t="s">
        <v>528</v>
      </c>
      <c r="D256" s="55" t="s">
        <v>270</v>
      </c>
      <c r="E256" s="55" t="s">
        <v>257</v>
      </c>
    </row>
    <row r="257" spans="1:5" ht="14.4" x14ac:dyDescent="0.25">
      <c r="A257" s="55" t="s">
        <v>960</v>
      </c>
      <c r="B257" s="55" t="s">
        <v>961</v>
      </c>
      <c r="C257" s="55" t="s">
        <v>466</v>
      </c>
      <c r="D257" s="55" t="s">
        <v>246</v>
      </c>
      <c r="E257" s="55" t="s">
        <v>300</v>
      </c>
    </row>
    <row r="258" spans="1:5" ht="14.4" x14ac:dyDescent="0.25">
      <c r="A258" s="55" t="s">
        <v>962</v>
      </c>
      <c r="B258" s="55" t="s">
        <v>963</v>
      </c>
      <c r="C258" s="55" t="s">
        <v>725</v>
      </c>
      <c r="D258" s="55" t="s">
        <v>320</v>
      </c>
      <c r="E258" s="55" t="s">
        <v>367</v>
      </c>
    </row>
    <row r="259" spans="1:5" ht="14.4" x14ac:dyDescent="0.25">
      <c r="A259" s="55" t="s">
        <v>964</v>
      </c>
      <c r="B259" s="55" t="s">
        <v>965</v>
      </c>
      <c r="C259" s="55" t="s">
        <v>643</v>
      </c>
      <c r="D259" s="55" t="s">
        <v>270</v>
      </c>
      <c r="E259" s="55" t="s">
        <v>367</v>
      </c>
    </row>
    <row r="260" spans="1:5" ht="14.4" x14ac:dyDescent="0.25">
      <c r="A260" s="55" t="s">
        <v>966</v>
      </c>
      <c r="B260" s="55" t="s">
        <v>967</v>
      </c>
      <c r="C260" s="55" t="s">
        <v>288</v>
      </c>
      <c r="D260" s="55" t="s">
        <v>270</v>
      </c>
      <c r="E260" s="55" t="s">
        <v>257</v>
      </c>
    </row>
    <row r="261" spans="1:5" ht="14.4" x14ac:dyDescent="0.25">
      <c r="A261" s="55" t="s">
        <v>968</v>
      </c>
      <c r="B261" s="55" t="s">
        <v>969</v>
      </c>
      <c r="C261" s="55" t="s">
        <v>970</v>
      </c>
      <c r="D261" s="55" t="s">
        <v>246</v>
      </c>
      <c r="E261" s="55" t="s">
        <v>252</v>
      </c>
    </row>
    <row r="262" spans="1:5" ht="14.4" x14ac:dyDescent="0.25">
      <c r="A262" s="55" t="s">
        <v>971</v>
      </c>
      <c r="B262" s="55" t="s">
        <v>972</v>
      </c>
      <c r="C262" s="55" t="s">
        <v>288</v>
      </c>
      <c r="D262" s="55" t="s">
        <v>270</v>
      </c>
      <c r="E262" s="55" t="s">
        <v>257</v>
      </c>
    </row>
    <row r="263" spans="1:5" ht="14.4" x14ac:dyDescent="0.25">
      <c r="A263" s="55" t="s">
        <v>973</v>
      </c>
      <c r="B263" s="55" t="s">
        <v>974</v>
      </c>
      <c r="C263" s="55" t="s">
        <v>975</v>
      </c>
      <c r="D263" s="55" t="s">
        <v>270</v>
      </c>
      <c r="E263" s="55" t="s">
        <v>271</v>
      </c>
    </row>
    <row r="264" spans="1:5" ht="14.4" x14ac:dyDescent="0.25">
      <c r="A264" s="55" t="s">
        <v>976</v>
      </c>
      <c r="B264" s="55" t="s">
        <v>977</v>
      </c>
      <c r="C264" s="55" t="s">
        <v>611</v>
      </c>
      <c r="D264" s="55" t="s">
        <v>246</v>
      </c>
      <c r="E264" s="55" t="s">
        <v>257</v>
      </c>
    </row>
    <row r="265" spans="1:5" ht="14.4" x14ac:dyDescent="0.25">
      <c r="A265" s="55" t="s">
        <v>978</v>
      </c>
      <c r="B265" s="55" t="s">
        <v>979</v>
      </c>
      <c r="C265" s="55" t="s">
        <v>388</v>
      </c>
      <c r="D265" s="55" t="s">
        <v>237</v>
      </c>
      <c r="E265" s="55" t="s">
        <v>257</v>
      </c>
    </row>
    <row r="266" spans="1:5" ht="14.4" x14ac:dyDescent="0.25">
      <c r="A266" s="55" t="s">
        <v>980</v>
      </c>
      <c r="B266" s="55" t="s">
        <v>981</v>
      </c>
      <c r="C266" s="55" t="s">
        <v>357</v>
      </c>
      <c r="D266" s="55" t="s">
        <v>246</v>
      </c>
      <c r="E266" s="55" t="s">
        <v>257</v>
      </c>
    </row>
    <row r="267" spans="1:5" ht="14.4" x14ac:dyDescent="0.25">
      <c r="A267" s="55" t="s">
        <v>982</v>
      </c>
      <c r="B267" s="55" t="s">
        <v>983</v>
      </c>
      <c r="C267" s="55" t="s">
        <v>984</v>
      </c>
      <c r="D267" s="55" t="s">
        <v>270</v>
      </c>
      <c r="E267" s="55" t="s">
        <v>271</v>
      </c>
    </row>
    <row r="268" spans="1:5" ht="14.4" x14ac:dyDescent="0.25">
      <c r="A268" s="55" t="s">
        <v>985</v>
      </c>
      <c r="B268" s="55" t="s">
        <v>986</v>
      </c>
      <c r="C268" s="55" t="s">
        <v>611</v>
      </c>
      <c r="D268" s="55" t="s">
        <v>270</v>
      </c>
      <c r="E268" s="55" t="s">
        <v>257</v>
      </c>
    </row>
    <row r="269" spans="1:5" ht="14.4" x14ac:dyDescent="0.25">
      <c r="A269" s="55" t="s">
        <v>987</v>
      </c>
      <c r="B269" s="55" t="s">
        <v>988</v>
      </c>
      <c r="C269" s="55" t="s">
        <v>989</v>
      </c>
      <c r="D269" s="55" t="s">
        <v>270</v>
      </c>
      <c r="E269" s="55" t="s">
        <v>257</v>
      </c>
    </row>
    <row r="270" spans="1:5" ht="14.4" x14ac:dyDescent="0.25">
      <c r="A270" s="55" t="s">
        <v>990</v>
      </c>
      <c r="B270" s="55" t="s">
        <v>991</v>
      </c>
      <c r="C270" s="55" t="s">
        <v>992</v>
      </c>
      <c r="D270" s="55" t="s">
        <v>270</v>
      </c>
      <c r="E270" s="55" t="s">
        <v>257</v>
      </c>
    </row>
    <row r="271" spans="1:5" ht="14.4" x14ac:dyDescent="0.25">
      <c r="A271" s="55" t="s">
        <v>993</v>
      </c>
      <c r="B271" s="55" t="s">
        <v>994</v>
      </c>
      <c r="C271" s="55" t="s">
        <v>776</v>
      </c>
      <c r="D271" s="55" t="s">
        <v>270</v>
      </c>
      <c r="E271" s="55" t="s">
        <v>533</v>
      </c>
    </row>
    <row r="272" spans="1:5" ht="14.4" x14ac:dyDescent="0.25">
      <c r="A272" s="55" t="s">
        <v>995</v>
      </c>
      <c r="B272" s="55" t="s">
        <v>996</v>
      </c>
      <c r="C272" s="55" t="s">
        <v>335</v>
      </c>
      <c r="D272" s="55" t="s">
        <v>270</v>
      </c>
      <c r="E272" s="55" t="s">
        <v>252</v>
      </c>
    </row>
    <row r="273" spans="1:5" ht="14.4" x14ac:dyDescent="0.25">
      <c r="A273" s="55" t="s">
        <v>997</v>
      </c>
      <c r="B273" s="55" t="s">
        <v>998</v>
      </c>
      <c r="C273" s="55" t="s">
        <v>427</v>
      </c>
      <c r="D273" s="55" t="s">
        <v>246</v>
      </c>
      <c r="E273" s="55" t="s">
        <v>257</v>
      </c>
    </row>
    <row r="274" spans="1:5" ht="14.4" x14ac:dyDescent="0.25">
      <c r="A274" s="55" t="s">
        <v>999</v>
      </c>
      <c r="B274" s="55" t="s">
        <v>1000</v>
      </c>
      <c r="C274" s="55" t="s">
        <v>383</v>
      </c>
      <c r="D274" s="55" t="s">
        <v>246</v>
      </c>
      <c r="E274" s="55" t="s">
        <v>252</v>
      </c>
    </row>
    <row r="275" spans="1:5" ht="14.4" x14ac:dyDescent="0.25">
      <c r="A275" s="55" t="s">
        <v>1001</v>
      </c>
      <c r="B275" s="55" t="s">
        <v>1002</v>
      </c>
      <c r="C275" s="55" t="s">
        <v>1003</v>
      </c>
      <c r="D275" s="55" t="s">
        <v>246</v>
      </c>
      <c r="E275" s="55" t="s">
        <v>494</v>
      </c>
    </row>
    <row r="276" spans="1:5" ht="14.4" x14ac:dyDescent="0.25">
      <c r="A276" s="55" t="s">
        <v>1004</v>
      </c>
      <c r="B276" s="55" t="s">
        <v>1005</v>
      </c>
      <c r="C276" s="55" t="s">
        <v>357</v>
      </c>
      <c r="D276" s="55" t="s">
        <v>270</v>
      </c>
      <c r="E276" s="55" t="s">
        <v>257</v>
      </c>
    </row>
    <row r="277" spans="1:5" ht="14.4" x14ac:dyDescent="0.25">
      <c r="A277" s="55" t="s">
        <v>1006</v>
      </c>
      <c r="B277" s="55" t="s">
        <v>1007</v>
      </c>
      <c r="C277" s="55" t="s">
        <v>357</v>
      </c>
      <c r="D277" s="55" t="s">
        <v>284</v>
      </c>
      <c r="E277" s="55" t="s">
        <v>257</v>
      </c>
    </row>
    <row r="278" spans="1:5" ht="14.4" x14ac:dyDescent="0.25">
      <c r="A278" s="55" t="s">
        <v>1008</v>
      </c>
      <c r="B278" s="55" t="s">
        <v>1009</v>
      </c>
      <c r="C278" s="55" t="s">
        <v>288</v>
      </c>
      <c r="D278" s="55" t="s">
        <v>270</v>
      </c>
      <c r="E278" s="55" t="s">
        <v>257</v>
      </c>
    </row>
    <row r="279" spans="1:5" ht="14.4" x14ac:dyDescent="0.25">
      <c r="A279" s="55" t="s">
        <v>1010</v>
      </c>
      <c r="B279" s="55" t="s">
        <v>1011</v>
      </c>
      <c r="C279" s="55" t="s">
        <v>1012</v>
      </c>
      <c r="D279" s="55" t="s">
        <v>246</v>
      </c>
      <c r="E279" s="55" t="s">
        <v>367</v>
      </c>
    </row>
    <row r="280" spans="1:5" ht="14.4" x14ac:dyDescent="0.25">
      <c r="A280" s="55" t="s">
        <v>1013</v>
      </c>
      <c r="B280" s="55" t="s">
        <v>1014</v>
      </c>
      <c r="C280" s="55" t="s">
        <v>1015</v>
      </c>
      <c r="D280" s="55" t="s">
        <v>270</v>
      </c>
      <c r="E280" s="55" t="s">
        <v>501</v>
      </c>
    </row>
    <row r="281" spans="1:5" ht="14.4" x14ac:dyDescent="0.25">
      <c r="A281" s="55" t="s">
        <v>1016</v>
      </c>
      <c r="B281" s="55" t="s">
        <v>1017</v>
      </c>
      <c r="C281" s="55" t="s">
        <v>528</v>
      </c>
      <c r="D281" s="55" t="s">
        <v>236</v>
      </c>
      <c r="E281" s="55" t="s">
        <v>257</v>
      </c>
    </row>
    <row r="282" spans="1:5" ht="14.4" x14ac:dyDescent="0.25">
      <c r="A282" s="55" t="s">
        <v>1018</v>
      </c>
      <c r="B282" s="55" t="s">
        <v>1019</v>
      </c>
      <c r="C282" s="55" t="s">
        <v>288</v>
      </c>
      <c r="D282" s="55" t="s">
        <v>246</v>
      </c>
      <c r="E282" s="55" t="s">
        <v>257</v>
      </c>
    </row>
    <row r="283" spans="1:5" ht="14.4" x14ac:dyDescent="0.25">
      <c r="A283" s="55" t="s">
        <v>1020</v>
      </c>
      <c r="B283" s="55" t="s">
        <v>1021</v>
      </c>
      <c r="C283" s="55" t="s">
        <v>801</v>
      </c>
      <c r="D283" s="55" t="s">
        <v>246</v>
      </c>
      <c r="E283" s="55" t="s">
        <v>296</v>
      </c>
    </row>
    <row r="284" spans="1:5" ht="14.4" x14ac:dyDescent="0.25">
      <c r="A284" s="55" t="s">
        <v>1022</v>
      </c>
      <c r="B284" s="55" t="s">
        <v>1023</v>
      </c>
      <c r="C284" s="55" t="s">
        <v>466</v>
      </c>
      <c r="D284" s="55" t="s">
        <v>246</v>
      </c>
      <c r="E284" s="55" t="s">
        <v>300</v>
      </c>
    </row>
    <row r="285" spans="1:5" ht="14.4" x14ac:dyDescent="0.25">
      <c r="A285" s="55" t="s">
        <v>1024</v>
      </c>
      <c r="B285" s="55" t="s">
        <v>1025</v>
      </c>
      <c r="C285" s="55" t="s">
        <v>989</v>
      </c>
      <c r="D285" s="55" t="s">
        <v>270</v>
      </c>
      <c r="E285" s="55" t="s">
        <v>257</v>
      </c>
    </row>
    <row r="286" spans="1:5" ht="14.4" x14ac:dyDescent="0.25">
      <c r="A286" s="55" t="s">
        <v>1026</v>
      </c>
      <c r="B286" s="55" t="s">
        <v>1027</v>
      </c>
      <c r="C286" s="55" t="s">
        <v>697</v>
      </c>
      <c r="D286" s="55" t="s">
        <v>270</v>
      </c>
      <c r="E286" s="55" t="s">
        <v>313</v>
      </c>
    </row>
    <row r="287" spans="1:5" ht="14.4" x14ac:dyDescent="0.25">
      <c r="A287" s="55" t="s">
        <v>1028</v>
      </c>
      <c r="B287" s="55" t="s">
        <v>1029</v>
      </c>
      <c r="C287" s="55" t="s">
        <v>335</v>
      </c>
      <c r="D287" s="55" t="s">
        <v>270</v>
      </c>
      <c r="E287" s="55" t="s">
        <v>252</v>
      </c>
    </row>
    <row r="288" spans="1:5" ht="14.4" x14ac:dyDescent="0.25">
      <c r="A288" s="55" t="s">
        <v>1030</v>
      </c>
      <c r="B288" s="55" t="s">
        <v>1031</v>
      </c>
      <c r="C288" s="55" t="s">
        <v>466</v>
      </c>
      <c r="D288" s="55" t="s">
        <v>246</v>
      </c>
      <c r="E288" s="55" t="s">
        <v>300</v>
      </c>
    </row>
    <row r="289" spans="1:5" ht="14.4" x14ac:dyDescent="0.25">
      <c r="A289" s="55" t="s">
        <v>1032</v>
      </c>
      <c r="B289" s="55" t="s">
        <v>1033</v>
      </c>
      <c r="C289" s="55" t="s">
        <v>822</v>
      </c>
      <c r="D289" s="55" t="s">
        <v>246</v>
      </c>
      <c r="E289" s="55" t="s">
        <v>339</v>
      </c>
    </row>
    <row r="290" spans="1:5" ht="14.4" x14ac:dyDescent="0.25">
      <c r="A290" s="55" t="s">
        <v>1034</v>
      </c>
      <c r="B290" s="55" t="s">
        <v>1035</v>
      </c>
      <c r="C290" s="55" t="s">
        <v>801</v>
      </c>
      <c r="D290" s="55" t="s">
        <v>237</v>
      </c>
      <c r="E290" s="55" t="s">
        <v>296</v>
      </c>
    </row>
    <row r="291" spans="1:5" ht="14.4" x14ac:dyDescent="0.25">
      <c r="A291" s="55" t="s">
        <v>1036</v>
      </c>
      <c r="B291" s="55" t="s">
        <v>1037</v>
      </c>
      <c r="C291" s="55" t="s">
        <v>626</v>
      </c>
      <c r="D291" s="55" t="s">
        <v>270</v>
      </c>
      <c r="E291" s="55" t="s">
        <v>296</v>
      </c>
    </row>
    <row r="292" spans="1:5" ht="14.4" x14ac:dyDescent="0.25">
      <c r="A292" s="55" t="s">
        <v>1038</v>
      </c>
      <c r="B292" s="55" t="s">
        <v>1039</v>
      </c>
      <c r="C292" s="55" t="s">
        <v>528</v>
      </c>
      <c r="D292" s="55" t="s">
        <v>284</v>
      </c>
      <c r="E292" s="55" t="s">
        <v>257</v>
      </c>
    </row>
    <row r="293" spans="1:5" ht="14.4" x14ac:dyDescent="0.25">
      <c r="A293" s="55" t="s">
        <v>1040</v>
      </c>
      <c r="B293" s="55" t="s">
        <v>1041</v>
      </c>
      <c r="C293" s="55" t="s">
        <v>626</v>
      </c>
      <c r="D293" s="55" t="s">
        <v>270</v>
      </c>
      <c r="E293" s="55" t="s">
        <v>296</v>
      </c>
    </row>
    <row r="294" spans="1:5" ht="14.4" x14ac:dyDescent="0.25">
      <c r="A294" s="55" t="s">
        <v>1042</v>
      </c>
      <c r="B294" s="55" t="s">
        <v>1043</v>
      </c>
      <c r="C294" s="55" t="s">
        <v>528</v>
      </c>
      <c r="D294" s="55" t="s">
        <v>270</v>
      </c>
      <c r="E294" s="55" t="s">
        <v>257</v>
      </c>
    </row>
    <row r="295" spans="1:5" ht="14.4" x14ac:dyDescent="0.25">
      <c r="A295" s="55" t="s">
        <v>1044</v>
      </c>
      <c r="B295" s="55" t="s">
        <v>1045</v>
      </c>
      <c r="C295" s="55" t="s">
        <v>275</v>
      </c>
      <c r="D295" s="55" t="s">
        <v>237</v>
      </c>
      <c r="E295" s="55" t="s">
        <v>257</v>
      </c>
    </row>
    <row r="296" spans="1:5" ht="14.4" x14ac:dyDescent="0.25">
      <c r="A296" s="55" t="s">
        <v>1046</v>
      </c>
      <c r="B296" s="55" t="s">
        <v>1047</v>
      </c>
      <c r="C296" s="55" t="s">
        <v>801</v>
      </c>
      <c r="D296" s="55" t="s">
        <v>246</v>
      </c>
      <c r="E296" s="55" t="s">
        <v>296</v>
      </c>
    </row>
    <row r="297" spans="1:5" ht="14.4" x14ac:dyDescent="0.25">
      <c r="A297" s="55" t="s">
        <v>1048</v>
      </c>
      <c r="B297" s="55" t="s">
        <v>1049</v>
      </c>
      <c r="C297" s="55" t="s">
        <v>1050</v>
      </c>
      <c r="D297" s="55" t="s">
        <v>270</v>
      </c>
      <c r="E297" s="55" t="s">
        <v>292</v>
      </c>
    </row>
    <row r="298" spans="1:5" ht="14.4" x14ac:dyDescent="0.25">
      <c r="A298" s="55" t="s">
        <v>1051</v>
      </c>
      <c r="B298" s="55" t="s">
        <v>1052</v>
      </c>
      <c r="C298" s="55" t="s">
        <v>528</v>
      </c>
      <c r="D298" s="55" t="s">
        <v>270</v>
      </c>
      <c r="E298" s="55" t="s">
        <v>257</v>
      </c>
    </row>
    <row r="299" spans="1:5" ht="14.4" x14ac:dyDescent="0.25">
      <c r="A299" s="55" t="s">
        <v>1053</v>
      </c>
      <c r="B299" s="55" t="s">
        <v>1054</v>
      </c>
      <c r="C299" s="55" t="s">
        <v>441</v>
      </c>
      <c r="D299" s="55" t="s">
        <v>237</v>
      </c>
      <c r="E299" s="55" t="s">
        <v>257</v>
      </c>
    </row>
    <row r="300" spans="1:5" ht="14.4" x14ac:dyDescent="0.25">
      <c r="A300" s="55" t="s">
        <v>1055</v>
      </c>
      <c r="B300" s="55" t="s">
        <v>1056</v>
      </c>
      <c r="C300" s="55" t="s">
        <v>640</v>
      </c>
      <c r="D300" s="55" t="s">
        <v>246</v>
      </c>
      <c r="E300" s="55" t="s">
        <v>367</v>
      </c>
    </row>
    <row r="301" spans="1:5" ht="14.4" x14ac:dyDescent="0.25">
      <c r="A301" s="55" t="s">
        <v>1057</v>
      </c>
      <c r="B301" s="55" t="s">
        <v>1058</v>
      </c>
      <c r="C301" s="55" t="s">
        <v>251</v>
      </c>
      <c r="D301" s="55" t="s">
        <v>246</v>
      </c>
      <c r="E301" s="55" t="s">
        <v>252</v>
      </c>
    </row>
    <row r="302" spans="1:5" ht="14.4" x14ac:dyDescent="0.25">
      <c r="A302" s="55" t="s">
        <v>1059</v>
      </c>
      <c r="B302" s="55" t="s">
        <v>1060</v>
      </c>
      <c r="C302" s="55" t="s">
        <v>295</v>
      </c>
      <c r="D302" s="55" t="s">
        <v>246</v>
      </c>
      <c r="E302" s="55" t="s">
        <v>296</v>
      </c>
    </row>
    <row r="303" spans="1:5" ht="14.4" x14ac:dyDescent="0.25">
      <c r="A303" s="55" t="s">
        <v>1061</v>
      </c>
      <c r="B303" s="55" t="s">
        <v>1062</v>
      </c>
      <c r="C303" s="55" t="s">
        <v>388</v>
      </c>
      <c r="D303" s="55" t="s">
        <v>246</v>
      </c>
      <c r="E303" s="55" t="s">
        <v>257</v>
      </c>
    </row>
    <row r="304" spans="1:5" ht="14.4" x14ac:dyDescent="0.25">
      <c r="A304" s="55" t="s">
        <v>1063</v>
      </c>
      <c r="B304" s="55" t="s">
        <v>1064</v>
      </c>
      <c r="C304" s="55" t="s">
        <v>448</v>
      </c>
      <c r="D304" s="55" t="s">
        <v>473</v>
      </c>
      <c r="E304" s="55" t="s">
        <v>252</v>
      </c>
    </row>
    <row r="305" spans="1:5" ht="14.4" x14ac:dyDescent="0.25">
      <c r="A305" s="55" t="s">
        <v>1065</v>
      </c>
      <c r="B305" s="55" t="s">
        <v>1066</v>
      </c>
      <c r="C305" s="55" t="s">
        <v>678</v>
      </c>
      <c r="D305" s="55" t="s">
        <v>270</v>
      </c>
      <c r="E305" s="55" t="s">
        <v>257</v>
      </c>
    </row>
    <row r="306" spans="1:5" ht="14.4" x14ac:dyDescent="0.25">
      <c r="A306" s="55" t="s">
        <v>1067</v>
      </c>
      <c r="B306" s="55" t="s">
        <v>1068</v>
      </c>
      <c r="C306" s="55" t="s">
        <v>1069</v>
      </c>
      <c r="D306" s="55" t="s">
        <v>270</v>
      </c>
      <c r="E306" s="55" t="s">
        <v>367</v>
      </c>
    </row>
    <row r="307" spans="1:5" ht="14.4" x14ac:dyDescent="0.25">
      <c r="A307" s="55" t="s">
        <v>1070</v>
      </c>
      <c r="B307" s="55" t="s">
        <v>1071</v>
      </c>
      <c r="C307" s="55" t="s">
        <v>1072</v>
      </c>
      <c r="D307" s="55" t="s">
        <v>237</v>
      </c>
      <c r="E307" s="55" t="s">
        <v>317</v>
      </c>
    </row>
    <row r="308" spans="1:5" ht="14.4" x14ac:dyDescent="0.25">
      <c r="A308" s="55" t="s">
        <v>1073</v>
      </c>
      <c r="B308" s="55" t="s">
        <v>1074</v>
      </c>
      <c r="C308" s="55" t="s">
        <v>678</v>
      </c>
      <c r="D308" s="55" t="s">
        <v>270</v>
      </c>
      <c r="E308" s="55" t="s">
        <v>257</v>
      </c>
    </row>
    <row r="309" spans="1:5" ht="14.4" x14ac:dyDescent="0.25">
      <c r="A309" s="55" t="s">
        <v>1075</v>
      </c>
      <c r="B309" s="55" t="s">
        <v>1076</v>
      </c>
      <c r="C309" s="55" t="s">
        <v>279</v>
      </c>
      <c r="D309" s="55" t="s">
        <v>270</v>
      </c>
      <c r="E309" s="55" t="s">
        <v>257</v>
      </c>
    </row>
    <row r="310" spans="1:5" ht="14.4" x14ac:dyDescent="0.25">
      <c r="A310" s="55" t="s">
        <v>1077</v>
      </c>
      <c r="B310" s="55" t="s">
        <v>1078</v>
      </c>
      <c r="C310" s="55" t="s">
        <v>514</v>
      </c>
      <c r="D310" s="55" t="s">
        <v>237</v>
      </c>
      <c r="E310" s="55" t="s">
        <v>257</v>
      </c>
    </row>
    <row r="311" spans="1:5" ht="14.4" x14ac:dyDescent="0.25">
      <c r="A311" s="55" t="s">
        <v>1079</v>
      </c>
      <c r="B311" s="55" t="s">
        <v>1080</v>
      </c>
      <c r="C311" s="55" t="s">
        <v>822</v>
      </c>
      <c r="D311" s="55" t="s">
        <v>237</v>
      </c>
      <c r="E311" s="55" t="s">
        <v>339</v>
      </c>
    </row>
    <row r="312" spans="1:5" ht="14.4" x14ac:dyDescent="0.25">
      <c r="A312" s="55" t="s">
        <v>1081</v>
      </c>
      <c r="B312" s="55" t="s">
        <v>1082</v>
      </c>
      <c r="C312" s="55" t="s">
        <v>1083</v>
      </c>
      <c r="D312" s="55" t="s">
        <v>246</v>
      </c>
      <c r="E312" s="55" t="s">
        <v>533</v>
      </c>
    </row>
    <row r="313" spans="1:5" ht="14.4" x14ac:dyDescent="0.25">
      <c r="A313" s="55" t="s">
        <v>1084</v>
      </c>
      <c r="B313" s="55" t="s">
        <v>1085</v>
      </c>
      <c r="C313" s="55" t="s">
        <v>562</v>
      </c>
      <c r="D313" s="55" t="s">
        <v>270</v>
      </c>
      <c r="E313" s="55" t="s">
        <v>332</v>
      </c>
    </row>
    <row r="314" spans="1:5" ht="14.4" x14ac:dyDescent="0.25">
      <c r="A314" s="55" t="s">
        <v>1086</v>
      </c>
      <c r="B314" s="55" t="s">
        <v>1087</v>
      </c>
      <c r="C314" s="55" t="s">
        <v>691</v>
      </c>
      <c r="D314" s="55" t="s">
        <v>237</v>
      </c>
      <c r="E314" s="55" t="s">
        <v>271</v>
      </c>
    </row>
    <row r="315" spans="1:5" ht="14.4" x14ac:dyDescent="0.25">
      <c r="A315" s="55" t="s">
        <v>1088</v>
      </c>
      <c r="B315" s="55" t="s">
        <v>1089</v>
      </c>
      <c r="C315" s="55" t="s">
        <v>715</v>
      </c>
      <c r="D315" s="55" t="s">
        <v>320</v>
      </c>
      <c r="E315" s="55" t="s">
        <v>300</v>
      </c>
    </row>
    <row r="316" spans="1:5" ht="14.4" x14ac:dyDescent="0.25">
      <c r="A316" s="55" t="s">
        <v>1090</v>
      </c>
      <c r="B316" s="55" t="s">
        <v>1091</v>
      </c>
      <c r="C316" s="55" t="s">
        <v>1092</v>
      </c>
      <c r="D316" s="55" t="s">
        <v>246</v>
      </c>
      <c r="E316" s="55" t="s">
        <v>257</v>
      </c>
    </row>
    <row r="317" spans="1:5" ht="14.4" x14ac:dyDescent="0.25">
      <c r="A317" s="55" t="s">
        <v>1093</v>
      </c>
      <c r="B317" s="55" t="s">
        <v>1094</v>
      </c>
      <c r="C317" s="55" t="s">
        <v>678</v>
      </c>
      <c r="D317" s="55" t="s">
        <v>246</v>
      </c>
      <c r="E317" s="55" t="s">
        <v>257</v>
      </c>
    </row>
    <row r="318" spans="1:5" ht="14.4" x14ac:dyDescent="0.25">
      <c r="A318" s="55" t="s">
        <v>1095</v>
      </c>
      <c r="B318" s="55" t="s">
        <v>1096</v>
      </c>
      <c r="C318" s="55" t="s">
        <v>319</v>
      </c>
      <c r="D318" s="55" t="s">
        <v>270</v>
      </c>
      <c r="E318" s="55" t="s">
        <v>257</v>
      </c>
    </row>
    <row r="319" spans="1:5" ht="14.4" x14ac:dyDescent="0.25">
      <c r="A319" s="55" t="s">
        <v>1097</v>
      </c>
      <c r="B319" s="55" t="s">
        <v>1098</v>
      </c>
      <c r="C319" s="55" t="s">
        <v>872</v>
      </c>
      <c r="D319" s="55" t="s">
        <v>246</v>
      </c>
      <c r="E319" s="55" t="s">
        <v>252</v>
      </c>
    </row>
    <row r="320" spans="1:5" ht="14.4" x14ac:dyDescent="0.25">
      <c r="A320" s="55" t="s">
        <v>1099</v>
      </c>
      <c r="B320" s="55" t="s">
        <v>1100</v>
      </c>
      <c r="C320" s="55" t="s">
        <v>275</v>
      </c>
      <c r="D320" s="55" t="s">
        <v>270</v>
      </c>
      <c r="E320" s="55" t="s">
        <v>257</v>
      </c>
    </row>
    <row r="321" spans="1:5" ht="14.4" x14ac:dyDescent="0.25">
      <c r="A321" s="55" t="s">
        <v>1101</v>
      </c>
      <c r="B321" s="55" t="s">
        <v>1102</v>
      </c>
      <c r="C321" s="55" t="s">
        <v>328</v>
      </c>
      <c r="D321" s="55" t="s">
        <v>237</v>
      </c>
      <c r="E321" s="55" t="s">
        <v>252</v>
      </c>
    </row>
    <row r="322" spans="1:5" ht="14.4" x14ac:dyDescent="0.25">
      <c r="A322" s="55" t="s">
        <v>1103</v>
      </c>
      <c r="B322" s="55" t="s">
        <v>1104</v>
      </c>
      <c r="C322" s="55" t="s">
        <v>1105</v>
      </c>
      <c r="D322" s="55" t="s">
        <v>237</v>
      </c>
      <c r="E322" s="55" t="s">
        <v>378</v>
      </c>
    </row>
    <row r="323" spans="1:5" ht="14.4" x14ac:dyDescent="0.25">
      <c r="A323" s="55" t="s">
        <v>1106</v>
      </c>
      <c r="B323" s="55" t="s">
        <v>1107</v>
      </c>
      <c r="C323" s="55" t="s">
        <v>514</v>
      </c>
      <c r="D323" s="55" t="s">
        <v>270</v>
      </c>
      <c r="E323" s="55" t="s">
        <v>257</v>
      </c>
    </row>
    <row r="324" spans="1:5" ht="14.4" x14ac:dyDescent="0.25">
      <c r="A324" s="55" t="s">
        <v>1108</v>
      </c>
      <c r="B324" s="55" t="s">
        <v>1109</v>
      </c>
      <c r="C324" s="55" t="s">
        <v>1110</v>
      </c>
      <c r="D324" s="55" t="s">
        <v>246</v>
      </c>
      <c r="E324" s="55" t="s">
        <v>257</v>
      </c>
    </row>
    <row r="325" spans="1:5" ht="14.4" x14ac:dyDescent="0.25">
      <c r="A325" s="55" t="s">
        <v>1111</v>
      </c>
      <c r="B325" s="55" t="s">
        <v>1112</v>
      </c>
      <c r="C325" s="55" t="s">
        <v>611</v>
      </c>
      <c r="D325" s="55" t="s">
        <v>246</v>
      </c>
      <c r="E325" s="55" t="s">
        <v>257</v>
      </c>
    </row>
    <row r="326" spans="1:5" ht="14.4" x14ac:dyDescent="0.25">
      <c r="A326" s="55" t="s">
        <v>1113</v>
      </c>
      <c r="B326" s="55" t="s">
        <v>1114</v>
      </c>
      <c r="C326" s="55" t="s">
        <v>288</v>
      </c>
      <c r="D326" s="55" t="s">
        <v>270</v>
      </c>
      <c r="E326" s="55" t="s">
        <v>257</v>
      </c>
    </row>
    <row r="327" spans="1:5" ht="14.4" x14ac:dyDescent="0.25">
      <c r="A327" s="55" t="s">
        <v>1115</v>
      </c>
      <c r="B327" s="55" t="s">
        <v>1116</v>
      </c>
      <c r="C327" s="55" t="s">
        <v>305</v>
      </c>
      <c r="D327" s="55" t="s">
        <v>246</v>
      </c>
      <c r="E327" s="55" t="s">
        <v>300</v>
      </c>
    </row>
    <row r="328" spans="1:5" ht="14.4" x14ac:dyDescent="0.25">
      <c r="A328" s="55" t="s">
        <v>1117</v>
      </c>
      <c r="B328" s="55" t="s">
        <v>1118</v>
      </c>
      <c r="C328" s="55" t="s">
        <v>466</v>
      </c>
      <c r="D328" s="55" t="s">
        <v>270</v>
      </c>
      <c r="E328" s="55" t="s">
        <v>300</v>
      </c>
    </row>
    <row r="329" spans="1:5" ht="14.4" x14ac:dyDescent="0.25">
      <c r="A329" s="55" t="s">
        <v>1119</v>
      </c>
      <c r="B329" s="55" t="s">
        <v>1120</v>
      </c>
      <c r="C329" s="55" t="s">
        <v>441</v>
      </c>
      <c r="D329" s="55" t="s">
        <v>246</v>
      </c>
      <c r="E329" s="55" t="s">
        <v>257</v>
      </c>
    </row>
    <row r="330" spans="1:5" ht="14.4" x14ac:dyDescent="0.25">
      <c r="A330" s="55" t="s">
        <v>1121</v>
      </c>
      <c r="B330" s="55" t="s">
        <v>1122</v>
      </c>
      <c r="C330" s="55" t="s">
        <v>1123</v>
      </c>
      <c r="D330" s="55" t="s">
        <v>246</v>
      </c>
      <c r="E330" s="55" t="s">
        <v>367</v>
      </c>
    </row>
    <row r="331" spans="1:5" ht="14.4" x14ac:dyDescent="0.25">
      <c r="A331" s="55" t="s">
        <v>1124</v>
      </c>
      <c r="B331" s="55" t="s">
        <v>1125</v>
      </c>
      <c r="C331" s="55" t="s">
        <v>611</v>
      </c>
      <c r="D331" s="55" t="s">
        <v>246</v>
      </c>
      <c r="E331" s="55" t="s">
        <v>257</v>
      </c>
    </row>
    <row r="332" spans="1:5" ht="14.4" x14ac:dyDescent="0.25">
      <c r="A332" s="55" t="s">
        <v>1126</v>
      </c>
      <c r="B332" s="55" t="s">
        <v>1127</v>
      </c>
      <c r="C332" s="55" t="s">
        <v>514</v>
      </c>
      <c r="D332" s="55" t="s">
        <v>270</v>
      </c>
      <c r="E332" s="55" t="s">
        <v>257</v>
      </c>
    </row>
    <row r="333" spans="1:5" ht="14.4" x14ac:dyDescent="0.25">
      <c r="A333" s="55" t="s">
        <v>1128</v>
      </c>
      <c r="B333" s="55" t="s">
        <v>1129</v>
      </c>
      <c r="C333" s="55" t="s">
        <v>514</v>
      </c>
      <c r="D333" s="55" t="s">
        <v>246</v>
      </c>
      <c r="E333" s="55" t="s">
        <v>257</v>
      </c>
    </row>
    <row r="334" spans="1:5" ht="14.4" x14ac:dyDescent="0.25">
      <c r="A334" s="55" t="s">
        <v>1130</v>
      </c>
      <c r="B334" s="55" t="s">
        <v>1131</v>
      </c>
      <c r="C334" s="55" t="s">
        <v>1132</v>
      </c>
      <c r="D334" s="55" t="s">
        <v>246</v>
      </c>
      <c r="E334" s="55" t="s">
        <v>252</v>
      </c>
    </row>
    <row r="335" spans="1:5" ht="14.4" x14ac:dyDescent="0.25">
      <c r="A335" s="55" t="s">
        <v>1133</v>
      </c>
      <c r="B335" s="55" t="s">
        <v>1134</v>
      </c>
      <c r="C335" s="55" t="s">
        <v>872</v>
      </c>
      <c r="D335" s="55" t="s">
        <v>270</v>
      </c>
      <c r="E335" s="55" t="s">
        <v>252</v>
      </c>
    </row>
    <row r="336" spans="1:5" ht="14.4" x14ac:dyDescent="0.25">
      <c r="A336" s="55" t="s">
        <v>1135</v>
      </c>
      <c r="B336" s="55" t="s">
        <v>1136</v>
      </c>
      <c r="C336" s="55" t="s">
        <v>718</v>
      </c>
      <c r="D336" s="55" t="s">
        <v>246</v>
      </c>
      <c r="E336" s="55" t="s">
        <v>292</v>
      </c>
    </row>
    <row r="337" spans="1:5" ht="14.4" x14ac:dyDescent="0.25">
      <c r="A337" s="55" t="s">
        <v>1137</v>
      </c>
      <c r="B337" s="55" t="s">
        <v>1138</v>
      </c>
      <c r="C337" s="55" t="s">
        <v>532</v>
      </c>
      <c r="D337" s="55" t="s">
        <v>237</v>
      </c>
      <c r="E337" s="55" t="s">
        <v>533</v>
      </c>
    </row>
    <row r="338" spans="1:5" ht="14.4" x14ac:dyDescent="0.25">
      <c r="A338" s="55" t="s">
        <v>1139</v>
      </c>
      <c r="B338" s="55" t="s">
        <v>1140</v>
      </c>
      <c r="C338" s="55" t="s">
        <v>801</v>
      </c>
      <c r="D338" s="55" t="s">
        <v>377</v>
      </c>
      <c r="E338" s="55" t="s">
        <v>296</v>
      </c>
    </row>
    <row r="339" spans="1:5" ht="14.4" x14ac:dyDescent="0.25">
      <c r="A339" s="55" t="s">
        <v>1141</v>
      </c>
      <c r="B339" s="55" t="s">
        <v>1142</v>
      </c>
      <c r="C339" s="55" t="s">
        <v>363</v>
      </c>
      <c r="D339" s="55" t="s">
        <v>284</v>
      </c>
      <c r="E339" s="55" t="s">
        <v>296</v>
      </c>
    </row>
    <row r="340" spans="1:5" ht="14.4" x14ac:dyDescent="0.25">
      <c r="A340" s="55" t="s">
        <v>1143</v>
      </c>
      <c r="B340" s="55" t="s">
        <v>1144</v>
      </c>
      <c r="C340" s="55" t="s">
        <v>611</v>
      </c>
      <c r="D340" s="55" t="s">
        <v>270</v>
      </c>
      <c r="E340" s="55" t="s">
        <v>257</v>
      </c>
    </row>
    <row r="341" spans="1:5" ht="14.4" x14ac:dyDescent="0.25">
      <c r="A341" s="55" t="s">
        <v>1145</v>
      </c>
      <c r="B341" s="55" t="s">
        <v>1146</v>
      </c>
      <c r="C341" s="55" t="s">
        <v>448</v>
      </c>
      <c r="D341" s="55" t="s">
        <v>284</v>
      </c>
      <c r="E341" s="55" t="s">
        <v>252</v>
      </c>
    </row>
    <row r="342" spans="1:5" ht="14.4" x14ac:dyDescent="0.25">
      <c r="A342" s="55" t="s">
        <v>1147</v>
      </c>
      <c r="B342" s="55" t="s">
        <v>1148</v>
      </c>
      <c r="C342" s="55" t="s">
        <v>479</v>
      </c>
      <c r="D342" s="55" t="s">
        <v>284</v>
      </c>
      <c r="E342" s="55" t="s">
        <v>332</v>
      </c>
    </row>
    <row r="343" spans="1:5" ht="14.4" x14ac:dyDescent="0.25">
      <c r="A343" s="55" t="s">
        <v>1149</v>
      </c>
      <c r="B343" s="55" t="s">
        <v>1150</v>
      </c>
      <c r="C343" s="55" t="s">
        <v>1151</v>
      </c>
      <c r="D343" s="55" t="s">
        <v>246</v>
      </c>
      <c r="E343" s="55" t="s">
        <v>367</v>
      </c>
    </row>
    <row r="344" spans="1:5" ht="14.4" x14ac:dyDescent="0.25">
      <c r="A344" s="55" t="s">
        <v>1152</v>
      </c>
      <c r="B344" s="55" t="s">
        <v>1153</v>
      </c>
      <c r="C344" s="55" t="s">
        <v>528</v>
      </c>
      <c r="D344" s="55" t="s">
        <v>246</v>
      </c>
      <c r="E344" s="55" t="s">
        <v>257</v>
      </c>
    </row>
    <row r="345" spans="1:5" ht="14.4" x14ac:dyDescent="0.25">
      <c r="A345" s="55" t="s">
        <v>1154</v>
      </c>
      <c r="B345" s="55" t="s">
        <v>1155</v>
      </c>
      <c r="C345" s="55" t="s">
        <v>801</v>
      </c>
      <c r="D345" s="55" t="s">
        <v>246</v>
      </c>
      <c r="E345" s="55" t="s">
        <v>296</v>
      </c>
    </row>
    <row r="346" spans="1:5" ht="14.4" x14ac:dyDescent="0.25">
      <c r="A346" s="55" t="s">
        <v>1156</v>
      </c>
      <c r="B346" s="55" t="s">
        <v>1157</v>
      </c>
      <c r="C346" s="55" t="s">
        <v>1158</v>
      </c>
      <c r="D346" s="55" t="s">
        <v>246</v>
      </c>
      <c r="E346" s="55" t="s">
        <v>332</v>
      </c>
    </row>
    <row r="347" spans="1:5" ht="14.4" x14ac:dyDescent="0.25">
      <c r="A347" s="55" t="s">
        <v>1159</v>
      </c>
      <c r="B347" s="55" t="s">
        <v>1160</v>
      </c>
      <c r="C347" s="55" t="s">
        <v>1161</v>
      </c>
      <c r="D347" s="55" t="s">
        <v>246</v>
      </c>
      <c r="E347" s="55" t="s">
        <v>296</v>
      </c>
    </row>
    <row r="348" spans="1:5" ht="14.4" x14ac:dyDescent="0.25">
      <c r="A348" s="55" t="s">
        <v>1162</v>
      </c>
      <c r="B348" s="55" t="s">
        <v>1163</v>
      </c>
      <c r="C348" s="55" t="s">
        <v>528</v>
      </c>
      <c r="D348" s="55" t="s">
        <v>246</v>
      </c>
      <c r="E348" s="55" t="s">
        <v>257</v>
      </c>
    </row>
    <row r="349" spans="1:5" ht="14.4" x14ac:dyDescent="0.25">
      <c r="A349" s="55" t="s">
        <v>1164</v>
      </c>
      <c r="B349" s="55" t="s">
        <v>1165</v>
      </c>
      <c r="C349" s="55" t="s">
        <v>1166</v>
      </c>
      <c r="D349" s="55" t="s">
        <v>246</v>
      </c>
      <c r="E349" s="55" t="s">
        <v>317</v>
      </c>
    </row>
    <row r="350" spans="1:5" ht="14.4" x14ac:dyDescent="0.25">
      <c r="A350" s="55" t="s">
        <v>1167</v>
      </c>
      <c r="B350" s="55" t="s">
        <v>1168</v>
      </c>
      <c r="C350" s="55" t="s">
        <v>466</v>
      </c>
      <c r="D350" s="55" t="s">
        <v>306</v>
      </c>
      <c r="E350" s="55" t="s">
        <v>300</v>
      </c>
    </row>
    <row r="351" spans="1:5" ht="14.4" x14ac:dyDescent="0.25">
      <c r="A351" s="55" t="s">
        <v>1169</v>
      </c>
      <c r="B351" s="55" t="s">
        <v>1170</v>
      </c>
      <c r="C351" s="55" t="s">
        <v>715</v>
      </c>
      <c r="D351" s="55" t="s">
        <v>236</v>
      </c>
      <c r="E351" s="55" t="s">
        <v>300</v>
      </c>
    </row>
    <row r="352" spans="1:5" ht="14.4" x14ac:dyDescent="0.25">
      <c r="A352" s="55" t="s">
        <v>1171</v>
      </c>
      <c r="B352" s="55" t="s">
        <v>1172</v>
      </c>
      <c r="C352" s="55" t="s">
        <v>279</v>
      </c>
      <c r="D352" s="55" t="s">
        <v>284</v>
      </c>
      <c r="E352" s="55" t="s">
        <v>257</v>
      </c>
    </row>
    <row r="353" spans="1:5" ht="14.4" x14ac:dyDescent="0.25">
      <c r="A353" s="55" t="s">
        <v>1173</v>
      </c>
      <c r="B353" s="55" t="s">
        <v>1174</v>
      </c>
      <c r="C353" s="55" t="s">
        <v>1175</v>
      </c>
      <c r="D353" s="55" t="s">
        <v>246</v>
      </c>
      <c r="E353" s="55" t="s">
        <v>257</v>
      </c>
    </row>
    <row r="354" spans="1:5" ht="14.4" x14ac:dyDescent="0.25">
      <c r="A354" s="55" t="s">
        <v>1176</v>
      </c>
      <c r="B354" s="55" t="s">
        <v>1177</v>
      </c>
      <c r="C354" s="55" t="s">
        <v>656</v>
      </c>
      <c r="D354" s="55" t="s">
        <v>270</v>
      </c>
      <c r="E354" s="55" t="s">
        <v>285</v>
      </c>
    </row>
    <row r="355" spans="1:5" ht="14.4" x14ac:dyDescent="0.25">
      <c r="A355" s="55" t="s">
        <v>1178</v>
      </c>
      <c r="B355" s="55" t="s">
        <v>1179</v>
      </c>
      <c r="C355" s="55" t="s">
        <v>466</v>
      </c>
      <c r="D355" s="55" t="s">
        <v>284</v>
      </c>
      <c r="E355" s="55" t="s">
        <v>300</v>
      </c>
    </row>
    <row r="356" spans="1:5" ht="14.4" x14ac:dyDescent="0.25">
      <c r="A356" s="55" t="s">
        <v>1180</v>
      </c>
      <c r="B356" s="55" t="s">
        <v>1181</v>
      </c>
      <c r="C356" s="55" t="s">
        <v>611</v>
      </c>
      <c r="D356" s="55" t="s">
        <v>246</v>
      </c>
      <c r="E356" s="55" t="s">
        <v>257</v>
      </c>
    </row>
    <row r="357" spans="1:5" ht="14.4" x14ac:dyDescent="0.25">
      <c r="A357" s="55" t="s">
        <v>1182</v>
      </c>
      <c r="B357" s="55" t="s">
        <v>1183</v>
      </c>
      <c r="C357" s="55" t="s">
        <v>611</v>
      </c>
      <c r="D357" s="55" t="s">
        <v>270</v>
      </c>
      <c r="E357" s="55" t="s">
        <v>257</v>
      </c>
    </row>
    <row r="358" spans="1:5" ht="14.4" x14ac:dyDescent="0.25">
      <c r="A358" s="55" t="s">
        <v>1184</v>
      </c>
      <c r="B358" s="55" t="s">
        <v>1185</v>
      </c>
      <c r="C358" s="55" t="s">
        <v>479</v>
      </c>
      <c r="D358" s="55" t="s">
        <v>246</v>
      </c>
      <c r="E358" s="55" t="s">
        <v>332</v>
      </c>
    </row>
    <row r="359" spans="1:5" ht="14.4" x14ac:dyDescent="0.25">
      <c r="A359" s="55" t="s">
        <v>1186</v>
      </c>
      <c r="B359" s="55" t="s">
        <v>1187</v>
      </c>
      <c r="C359" s="55" t="s">
        <v>427</v>
      </c>
      <c r="D359" s="55" t="s">
        <v>306</v>
      </c>
      <c r="E359" s="55" t="s">
        <v>257</v>
      </c>
    </row>
    <row r="360" spans="1:5" ht="14.4" x14ac:dyDescent="0.25">
      <c r="A360" s="55" t="s">
        <v>1188</v>
      </c>
      <c r="B360" s="55" t="s">
        <v>1189</v>
      </c>
      <c r="C360" s="55" t="s">
        <v>388</v>
      </c>
      <c r="D360" s="55" t="s">
        <v>306</v>
      </c>
      <c r="E360" s="55" t="s">
        <v>257</v>
      </c>
    </row>
    <row r="361" spans="1:5" ht="14.4" x14ac:dyDescent="0.25">
      <c r="A361" s="55" t="s">
        <v>1190</v>
      </c>
      <c r="B361" s="55" t="s">
        <v>1191</v>
      </c>
      <c r="C361" s="55" t="s">
        <v>441</v>
      </c>
      <c r="D361" s="55" t="s">
        <v>237</v>
      </c>
      <c r="E361" s="55" t="s">
        <v>257</v>
      </c>
    </row>
    <row r="362" spans="1:5" ht="14.4" x14ac:dyDescent="0.25">
      <c r="A362" s="55" t="s">
        <v>1192</v>
      </c>
      <c r="B362" s="55" t="s">
        <v>1193</v>
      </c>
      <c r="C362" s="55" t="s">
        <v>611</v>
      </c>
      <c r="D362" s="55" t="s">
        <v>246</v>
      </c>
      <c r="E362" s="55" t="s">
        <v>257</v>
      </c>
    </row>
    <row r="363" spans="1:5" ht="14.4" x14ac:dyDescent="0.25">
      <c r="A363" s="55" t="s">
        <v>1194</v>
      </c>
      <c r="B363" s="55" t="s">
        <v>1195</v>
      </c>
      <c r="C363" s="55" t="s">
        <v>528</v>
      </c>
      <c r="D363" s="55" t="s">
        <v>246</v>
      </c>
      <c r="E363" s="55" t="s">
        <v>257</v>
      </c>
    </row>
    <row r="364" spans="1:5" ht="14.4" x14ac:dyDescent="0.25">
      <c r="A364" s="55" t="s">
        <v>1196</v>
      </c>
      <c r="B364" s="55" t="s">
        <v>1197</v>
      </c>
      <c r="C364" s="55" t="s">
        <v>383</v>
      </c>
      <c r="D364" s="55" t="s">
        <v>306</v>
      </c>
      <c r="E364" s="55" t="s">
        <v>252</v>
      </c>
    </row>
    <row r="365" spans="1:5" ht="14.4" x14ac:dyDescent="0.25">
      <c r="A365" s="55" t="s">
        <v>1198</v>
      </c>
      <c r="B365" s="55" t="s">
        <v>1199</v>
      </c>
      <c r="C365" s="55" t="s">
        <v>1200</v>
      </c>
      <c r="D365" s="55" t="s">
        <v>246</v>
      </c>
      <c r="E365" s="55" t="s">
        <v>378</v>
      </c>
    </row>
    <row r="366" spans="1:5" ht="14.4" x14ac:dyDescent="0.25">
      <c r="A366" s="55" t="s">
        <v>1201</v>
      </c>
      <c r="B366" s="55" t="s">
        <v>1202</v>
      </c>
      <c r="C366" s="55" t="s">
        <v>817</v>
      </c>
      <c r="D366" s="55" t="s">
        <v>270</v>
      </c>
      <c r="E366" s="55" t="s">
        <v>313</v>
      </c>
    </row>
    <row r="367" spans="1:5" ht="14.4" x14ac:dyDescent="0.25">
      <c r="A367" s="55" t="s">
        <v>1203</v>
      </c>
      <c r="B367" s="55" t="s">
        <v>1204</v>
      </c>
      <c r="C367" s="55" t="s">
        <v>1205</v>
      </c>
      <c r="D367" s="55" t="s">
        <v>270</v>
      </c>
      <c r="E367" s="55" t="s">
        <v>257</v>
      </c>
    </row>
    <row r="368" spans="1:5" ht="14.4" x14ac:dyDescent="0.25">
      <c r="A368" s="55" t="s">
        <v>1206</v>
      </c>
      <c r="B368" s="55" t="s">
        <v>1207</v>
      </c>
      <c r="C368" s="55" t="s">
        <v>448</v>
      </c>
      <c r="D368" s="55" t="s">
        <v>246</v>
      </c>
      <c r="E368" s="55" t="s">
        <v>252</v>
      </c>
    </row>
    <row r="369" spans="1:5" ht="14.4" x14ac:dyDescent="0.25">
      <c r="A369" s="55" t="s">
        <v>1208</v>
      </c>
      <c r="B369" s="55" t="s">
        <v>1209</v>
      </c>
      <c r="C369" s="55" t="s">
        <v>1210</v>
      </c>
      <c r="D369" s="55" t="s">
        <v>237</v>
      </c>
      <c r="E369" s="55" t="s">
        <v>332</v>
      </c>
    </row>
    <row r="370" spans="1:5" ht="14.4" x14ac:dyDescent="0.25">
      <c r="A370" s="55" t="s">
        <v>1211</v>
      </c>
      <c r="B370" s="55" t="s">
        <v>1212</v>
      </c>
      <c r="C370" s="55" t="s">
        <v>279</v>
      </c>
      <c r="D370" s="55" t="s">
        <v>270</v>
      </c>
      <c r="E370" s="55" t="s">
        <v>257</v>
      </c>
    </row>
    <row r="371" spans="1:5" ht="14.4" x14ac:dyDescent="0.25">
      <c r="A371" s="55" t="s">
        <v>1213</v>
      </c>
      <c r="B371" s="55" t="s">
        <v>1214</v>
      </c>
      <c r="C371" s="55" t="s">
        <v>288</v>
      </c>
      <c r="D371" s="55" t="s">
        <v>270</v>
      </c>
      <c r="E371" s="55" t="s">
        <v>257</v>
      </c>
    </row>
    <row r="372" spans="1:5" ht="14.4" x14ac:dyDescent="0.25">
      <c r="A372" s="55" t="s">
        <v>1215</v>
      </c>
      <c r="B372" s="55" t="s">
        <v>1216</v>
      </c>
      <c r="C372" s="55" t="s">
        <v>305</v>
      </c>
      <c r="D372" s="55" t="s">
        <v>246</v>
      </c>
      <c r="E372" s="55" t="s">
        <v>300</v>
      </c>
    </row>
    <row r="373" spans="1:5" ht="14.4" x14ac:dyDescent="0.25">
      <c r="A373" s="55" t="s">
        <v>1217</v>
      </c>
      <c r="B373" s="55" t="s">
        <v>1218</v>
      </c>
      <c r="C373" s="55" t="s">
        <v>611</v>
      </c>
      <c r="D373" s="55" t="s">
        <v>237</v>
      </c>
      <c r="E373" s="55" t="s">
        <v>257</v>
      </c>
    </row>
    <row r="374" spans="1:5" ht="14.4" x14ac:dyDescent="0.25">
      <c r="A374" s="55" t="s">
        <v>1219</v>
      </c>
      <c r="B374" s="55" t="s">
        <v>1220</v>
      </c>
      <c r="C374" s="55" t="s">
        <v>448</v>
      </c>
      <c r="D374" s="55" t="s">
        <v>270</v>
      </c>
      <c r="E374" s="55" t="s">
        <v>252</v>
      </c>
    </row>
    <row r="375" spans="1:5" ht="14.4" x14ac:dyDescent="0.25">
      <c r="A375" s="55" t="s">
        <v>1221</v>
      </c>
      <c r="B375" s="55" t="s">
        <v>1222</v>
      </c>
      <c r="C375" s="55" t="s">
        <v>656</v>
      </c>
      <c r="D375" s="55" t="s">
        <v>284</v>
      </c>
      <c r="E375" s="55" t="s">
        <v>285</v>
      </c>
    </row>
    <row r="376" spans="1:5" ht="14.4" x14ac:dyDescent="0.25">
      <c r="A376" s="55" t="s">
        <v>1223</v>
      </c>
      <c r="B376" s="55" t="s">
        <v>1224</v>
      </c>
      <c r="C376" s="55" t="s">
        <v>1225</v>
      </c>
      <c r="D376" s="55" t="s">
        <v>270</v>
      </c>
      <c r="E376" s="55" t="s">
        <v>343</v>
      </c>
    </row>
    <row r="377" spans="1:5" ht="14.4" x14ac:dyDescent="0.25">
      <c r="A377" s="55" t="s">
        <v>1226</v>
      </c>
      <c r="B377" s="55" t="s">
        <v>1227</v>
      </c>
      <c r="C377" s="55" t="s">
        <v>715</v>
      </c>
      <c r="D377" s="55" t="s">
        <v>246</v>
      </c>
      <c r="E377" s="55" t="s">
        <v>300</v>
      </c>
    </row>
    <row r="378" spans="1:5" ht="14.4" x14ac:dyDescent="0.25">
      <c r="A378" s="55" t="s">
        <v>1228</v>
      </c>
      <c r="B378" s="55" t="s">
        <v>1229</v>
      </c>
      <c r="C378" s="55" t="s">
        <v>611</v>
      </c>
      <c r="D378" s="55" t="s">
        <v>246</v>
      </c>
      <c r="E378" s="55" t="s">
        <v>257</v>
      </c>
    </row>
    <row r="379" spans="1:5" ht="14.4" x14ac:dyDescent="0.25">
      <c r="A379" s="55" t="s">
        <v>1230</v>
      </c>
      <c r="B379" s="55" t="s">
        <v>1231</v>
      </c>
      <c r="C379" s="55" t="s">
        <v>565</v>
      </c>
      <c r="D379" s="55" t="s">
        <v>246</v>
      </c>
      <c r="E379" s="55" t="s">
        <v>257</v>
      </c>
    </row>
    <row r="380" spans="1:5" ht="14.4" x14ac:dyDescent="0.25">
      <c r="A380" s="55" t="s">
        <v>1232</v>
      </c>
      <c r="B380" s="55" t="s">
        <v>1233</v>
      </c>
      <c r="C380" s="55" t="s">
        <v>989</v>
      </c>
      <c r="D380" s="55" t="s">
        <v>320</v>
      </c>
      <c r="E380" s="55" t="s">
        <v>257</v>
      </c>
    </row>
    <row r="381" spans="1:5" ht="14.4" x14ac:dyDescent="0.25">
      <c r="A381" s="55" t="s">
        <v>1234</v>
      </c>
      <c r="B381" s="55" t="s">
        <v>1235</v>
      </c>
      <c r="C381" s="55" t="s">
        <v>466</v>
      </c>
      <c r="D381" s="55" t="s">
        <v>270</v>
      </c>
      <c r="E381" s="55" t="s">
        <v>300</v>
      </c>
    </row>
    <row r="382" spans="1:5" ht="14.4" x14ac:dyDescent="0.25">
      <c r="A382" s="55" t="s">
        <v>1236</v>
      </c>
      <c r="B382" s="55" t="s">
        <v>1237</v>
      </c>
      <c r="C382" s="55" t="s">
        <v>1238</v>
      </c>
      <c r="D382" s="55" t="s">
        <v>236</v>
      </c>
      <c r="E382" s="55" t="s">
        <v>257</v>
      </c>
    </row>
    <row r="383" spans="1:5" ht="14.4" x14ac:dyDescent="0.25">
      <c r="A383" s="55" t="s">
        <v>1239</v>
      </c>
      <c r="B383" s="55" t="s">
        <v>1240</v>
      </c>
      <c r="C383" s="55" t="s">
        <v>466</v>
      </c>
      <c r="D383" s="55" t="s">
        <v>246</v>
      </c>
      <c r="E383" s="55" t="s">
        <v>300</v>
      </c>
    </row>
    <row r="384" spans="1:5" ht="14.4" x14ac:dyDescent="0.25">
      <c r="A384" s="55" t="s">
        <v>1241</v>
      </c>
      <c r="B384" s="55" t="s">
        <v>1242</v>
      </c>
      <c r="C384" s="55" t="s">
        <v>623</v>
      </c>
      <c r="D384" s="55" t="s">
        <v>237</v>
      </c>
      <c r="E384" s="55" t="s">
        <v>367</v>
      </c>
    </row>
    <row r="385" spans="1:5" ht="14.4" x14ac:dyDescent="0.25">
      <c r="A385" s="55" t="s">
        <v>1243</v>
      </c>
      <c r="B385" s="55" t="s">
        <v>1244</v>
      </c>
      <c r="C385" s="55" t="s">
        <v>715</v>
      </c>
      <c r="D385" s="55" t="s">
        <v>320</v>
      </c>
      <c r="E385" s="55" t="s">
        <v>300</v>
      </c>
    </row>
    <row r="386" spans="1:5" ht="14.4" x14ac:dyDescent="0.25">
      <c r="A386" s="55" t="s">
        <v>1245</v>
      </c>
      <c r="B386" s="55" t="s">
        <v>1246</v>
      </c>
      <c r="C386" s="55" t="s">
        <v>1247</v>
      </c>
      <c r="D386" s="55" t="s">
        <v>270</v>
      </c>
      <c r="E386" s="55" t="s">
        <v>343</v>
      </c>
    </row>
    <row r="387" spans="1:5" ht="14.4" x14ac:dyDescent="0.25">
      <c r="A387" s="55" t="s">
        <v>1248</v>
      </c>
      <c r="B387" s="55" t="s">
        <v>1249</v>
      </c>
      <c r="C387" s="55" t="s">
        <v>623</v>
      </c>
      <c r="D387" s="55" t="s">
        <v>377</v>
      </c>
      <c r="E387" s="55" t="s">
        <v>367</v>
      </c>
    </row>
    <row r="388" spans="1:5" ht="14.4" x14ac:dyDescent="0.25">
      <c r="A388" s="55" t="s">
        <v>1250</v>
      </c>
      <c r="B388" s="55" t="s">
        <v>1251</v>
      </c>
      <c r="C388" s="55" t="s">
        <v>623</v>
      </c>
      <c r="D388" s="55" t="s">
        <v>270</v>
      </c>
      <c r="E388" s="55" t="s">
        <v>367</v>
      </c>
    </row>
    <row r="389" spans="1:5" ht="14.4" x14ac:dyDescent="0.25">
      <c r="A389" s="55" t="s">
        <v>1252</v>
      </c>
      <c r="B389" s="55" t="s">
        <v>1253</v>
      </c>
      <c r="C389" s="55" t="s">
        <v>691</v>
      </c>
      <c r="D389" s="55" t="s">
        <v>246</v>
      </c>
      <c r="E389" s="55" t="s">
        <v>271</v>
      </c>
    </row>
    <row r="390" spans="1:5" ht="14.4" x14ac:dyDescent="0.25">
      <c r="A390" s="55" t="s">
        <v>1254</v>
      </c>
      <c r="B390" s="55" t="s">
        <v>1255</v>
      </c>
      <c r="C390" s="55" t="s">
        <v>335</v>
      </c>
      <c r="D390" s="55" t="s">
        <v>270</v>
      </c>
      <c r="E390" s="55" t="s">
        <v>252</v>
      </c>
    </row>
    <row r="391" spans="1:5" ht="14.4" x14ac:dyDescent="0.25">
      <c r="A391" s="55" t="s">
        <v>1256</v>
      </c>
      <c r="B391" s="55" t="s">
        <v>1257</v>
      </c>
      <c r="C391" s="55" t="s">
        <v>288</v>
      </c>
      <c r="D391" s="55" t="s">
        <v>270</v>
      </c>
      <c r="E391" s="55" t="s">
        <v>257</v>
      </c>
    </row>
    <row r="392" spans="1:5" ht="14.4" x14ac:dyDescent="0.25">
      <c r="A392" s="55" t="s">
        <v>1258</v>
      </c>
      <c r="B392" s="55" t="s">
        <v>1259</v>
      </c>
      <c r="C392" s="55" t="s">
        <v>1260</v>
      </c>
      <c r="D392" s="55" t="s">
        <v>237</v>
      </c>
      <c r="E392" s="55" t="s">
        <v>317</v>
      </c>
    </row>
    <row r="393" spans="1:5" ht="14.4" x14ac:dyDescent="0.25">
      <c r="A393" s="55" t="s">
        <v>1261</v>
      </c>
      <c r="B393" s="55" t="s">
        <v>1262</v>
      </c>
      <c r="C393" s="55" t="s">
        <v>288</v>
      </c>
      <c r="D393" s="55" t="s">
        <v>246</v>
      </c>
      <c r="E393" s="55" t="s">
        <v>257</v>
      </c>
    </row>
    <row r="394" spans="1:5" ht="14.4" x14ac:dyDescent="0.25">
      <c r="A394" s="55" t="s">
        <v>1263</v>
      </c>
      <c r="B394" s="55" t="s">
        <v>1264</v>
      </c>
      <c r="C394" s="55" t="s">
        <v>476</v>
      </c>
      <c r="D394" s="55" t="s">
        <v>246</v>
      </c>
      <c r="E394" s="55" t="s">
        <v>296</v>
      </c>
    </row>
    <row r="395" spans="1:5" ht="14.4" x14ac:dyDescent="0.25">
      <c r="A395" s="55" t="s">
        <v>1265</v>
      </c>
      <c r="B395" s="55" t="s">
        <v>1266</v>
      </c>
      <c r="C395" s="55" t="s">
        <v>514</v>
      </c>
      <c r="D395" s="55" t="s">
        <v>320</v>
      </c>
      <c r="E395" s="55" t="s">
        <v>257</v>
      </c>
    </row>
    <row r="396" spans="1:5" ht="14.4" x14ac:dyDescent="0.25">
      <c r="A396" s="55" t="s">
        <v>1267</v>
      </c>
      <c r="B396" s="55" t="s">
        <v>1268</v>
      </c>
      <c r="C396" s="55" t="s">
        <v>514</v>
      </c>
      <c r="D396" s="55" t="s">
        <v>246</v>
      </c>
      <c r="E396" s="55" t="s">
        <v>257</v>
      </c>
    </row>
    <row r="397" spans="1:5" ht="14.4" x14ac:dyDescent="0.25">
      <c r="A397" s="55" t="s">
        <v>1269</v>
      </c>
      <c r="B397" s="55" t="s">
        <v>1270</v>
      </c>
      <c r="C397" s="55" t="s">
        <v>897</v>
      </c>
      <c r="D397" s="55" t="s">
        <v>246</v>
      </c>
      <c r="E397" s="55" t="s">
        <v>367</v>
      </c>
    </row>
    <row r="398" spans="1:5" ht="14.4" x14ac:dyDescent="0.25">
      <c r="A398" s="55" t="s">
        <v>1271</v>
      </c>
      <c r="B398" s="55" t="s">
        <v>1272</v>
      </c>
      <c r="C398" s="55" t="s">
        <v>466</v>
      </c>
      <c r="D398" s="55" t="s">
        <v>237</v>
      </c>
      <c r="E398" s="55" t="s">
        <v>300</v>
      </c>
    </row>
    <row r="399" spans="1:5" ht="14.4" x14ac:dyDescent="0.25">
      <c r="A399" s="55" t="s">
        <v>1273</v>
      </c>
      <c r="B399" s="55" t="s">
        <v>1274</v>
      </c>
      <c r="C399" s="55" t="s">
        <v>611</v>
      </c>
      <c r="D399" s="55" t="s">
        <v>377</v>
      </c>
      <c r="E399" s="55" t="s">
        <v>257</v>
      </c>
    </row>
    <row r="400" spans="1:5" ht="14.4" x14ac:dyDescent="0.25">
      <c r="A400" s="55" t="s">
        <v>1275</v>
      </c>
      <c r="B400" s="55" t="s">
        <v>1276</v>
      </c>
      <c r="C400" s="55" t="s">
        <v>279</v>
      </c>
      <c r="D400" s="55" t="s">
        <v>270</v>
      </c>
      <c r="E400" s="55" t="s">
        <v>257</v>
      </c>
    </row>
    <row r="401" spans="1:5" ht="14.4" x14ac:dyDescent="0.25">
      <c r="A401" s="55" t="s">
        <v>1277</v>
      </c>
      <c r="B401" s="55" t="s">
        <v>1278</v>
      </c>
      <c r="C401" s="55" t="s">
        <v>357</v>
      </c>
      <c r="D401" s="55" t="s">
        <v>270</v>
      </c>
      <c r="E401" s="55" t="s">
        <v>257</v>
      </c>
    </row>
    <row r="402" spans="1:5" ht="14.4" x14ac:dyDescent="0.25">
      <c r="A402" s="55" t="s">
        <v>1279</v>
      </c>
      <c r="B402" s="55" t="s">
        <v>1280</v>
      </c>
      <c r="C402" s="55" t="s">
        <v>872</v>
      </c>
      <c r="D402" s="55" t="s">
        <v>377</v>
      </c>
      <c r="E402" s="55" t="s">
        <v>252</v>
      </c>
    </row>
    <row r="403" spans="1:5" ht="14.4" x14ac:dyDescent="0.25">
      <c r="A403" s="55" t="s">
        <v>1281</v>
      </c>
      <c r="B403" s="55" t="s">
        <v>1282</v>
      </c>
      <c r="C403" s="55" t="s">
        <v>357</v>
      </c>
      <c r="D403" s="55" t="s">
        <v>270</v>
      </c>
      <c r="E403" s="55" t="s">
        <v>257</v>
      </c>
    </row>
    <row r="404" spans="1:5" ht="14.4" x14ac:dyDescent="0.25">
      <c r="A404" s="55" t="s">
        <v>1283</v>
      </c>
      <c r="B404" s="55" t="s">
        <v>1284</v>
      </c>
      <c r="C404" s="55" t="s">
        <v>357</v>
      </c>
      <c r="D404" s="55" t="s">
        <v>270</v>
      </c>
      <c r="E404" s="55" t="s">
        <v>257</v>
      </c>
    </row>
    <row r="405" spans="1:5" ht="14.4" x14ac:dyDescent="0.25">
      <c r="A405" s="55" t="s">
        <v>1285</v>
      </c>
      <c r="B405" s="55" t="s">
        <v>1286</v>
      </c>
      <c r="C405" s="55" t="s">
        <v>801</v>
      </c>
      <c r="D405" s="55" t="s">
        <v>270</v>
      </c>
      <c r="E405" s="55" t="s">
        <v>296</v>
      </c>
    </row>
    <row r="406" spans="1:5" ht="14.4" x14ac:dyDescent="0.25">
      <c r="A406" s="55" t="s">
        <v>1287</v>
      </c>
      <c r="B406" s="55" t="s">
        <v>1288</v>
      </c>
      <c r="C406" s="55" t="s">
        <v>335</v>
      </c>
      <c r="D406" s="55" t="s">
        <v>270</v>
      </c>
      <c r="E406" s="55" t="s">
        <v>252</v>
      </c>
    </row>
    <row r="407" spans="1:5" ht="14.4" x14ac:dyDescent="0.25">
      <c r="A407" s="55" t="s">
        <v>1289</v>
      </c>
      <c r="B407" s="55" t="s">
        <v>1290</v>
      </c>
      <c r="C407" s="55" t="s">
        <v>1291</v>
      </c>
      <c r="D407" s="55" t="s">
        <v>270</v>
      </c>
      <c r="E407" s="55" t="s">
        <v>339</v>
      </c>
    </row>
    <row r="408" spans="1:5" ht="14.4" x14ac:dyDescent="0.25">
      <c r="A408" s="55" t="s">
        <v>1292</v>
      </c>
      <c r="B408" s="55" t="s">
        <v>1293</v>
      </c>
      <c r="C408" s="55" t="s">
        <v>351</v>
      </c>
      <c r="D408" s="55" t="s">
        <v>270</v>
      </c>
      <c r="E408" s="55" t="s">
        <v>332</v>
      </c>
    </row>
    <row r="409" spans="1:5" ht="14.4" x14ac:dyDescent="0.25">
      <c r="A409" s="55" t="s">
        <v>1294</v>
      </c>
      <c r="B409" s="55" t="s">
        <v>1295</v>
      </c>
      <c r="C409" s="55" t="s">
        <v>357</v>
      </c>
      <c r="D409" s="55" t="s">
        <v>270</v>
      </c>
      <c r="E409" s="55" t="s">
        <v>257</v>
      </c>
    </row>
    <row r="410" spans="1:5" ht="14.4" x14ac:dyDescent="0.25">
      <c r="A410" s="55" t="s">
        <v>1296</v>
      </c>
      <c r="B410" s="55" t="s">
        <v>1297</v>
      </c>
      <c r="C410" s="55" t="s">
        <v>357</v>
      </c>
      <c r="D410" s="55" t="s">
        <v>270</v>
      </c>
      <c r="E410" s="55" t="s">
        <v>257</v>
      </c>
    </row>
    <row r="411" spans="1:5" ht="14.4" x14ac:dyDescent="0.25">
      <c r="A411" s="55" t="s">
        <v>1298</v>
      </c>
      <c r="B411" s="55" t="s">
        <v>1299</v>
      </c>
      <c r="C411" s="55" t="s">
        <v>1300</v>
      </c>
      <c r="D411" s="55" t="s">
        <v>270</v>
      </c>
      <c r="E411" s="55" t="s">
        <v>300</v>
      </c>
    </row>
    <row r="412" spans="1:5" ht="14.4" x14ac:dyDescent="0.25">
      <c r="A412" s="55" t="s">
        <v>1301</v>
      </c>
      <c r="B412" s="55" t="s">
        <v>1302</v>
      </c>
      <c r="C412" s="55" t="s">
        <v>801</v>
      </c>
      <c r="D412" s="55" t="s">
        <v>377</v>
      </c>
      <c r="E412" s="55" t="s">
        <v>296</v>
      </c>
    </row>
    <row r="413" spans="1:5" ht="14.4" x14ac:dyDescent="0.25">
      <c r="A413" s="55" t="s">
        <v>1303</v>
      </c>
      <c r="B413" s="55" t="s">
        <v>1304</v>
      </c>
      <c r="C413" s="55" t="s">
        <v>479</v>
      </c>
      <c r="D413" s="55" t="s">
        <v>270</v>
      </c>
      <c r="E413" s="55" t="s">
        <v>332</v>
      </c>
    </row>
    <row r="414" spans="1:5" ht="14.4" x14ac:dyDescent="0.25">
      <c r="A414" s="55" t="s">
        <v>1305</v>
      </c>
      <c r="B414" s="55" t="s">
        <v>1306</v>
      </c>
      <c r="C414" s="55" t="s">
        <v>822</v>
      </c>
      <c r="D414" s="55" t="s">
        <v>246</v>
      </c>
      <c r="E414" s="55" t="s">
        <v>339</v>
      </c>
    </row>
    <row r="415" spans="1:5" ht="14.4" x14ac:dyDescent="0.25">
      <c r="A415" s="55" t="s">
        <v>1307</v>
      </c>
      <c r="B415" s="55" t="s">
        <v>1308</v>
      </c>
      <c r="C415" s="55" t="s">
        <v>391</v>
      </c>
      <c r="D415" s="55" t="s">
        <v>246</v>
      </c>
      <c r="E415" s="55" t="s">
        <v>257</v>
      </c>
    </row>
    <row r="416" spans="1:5" ht="14.4" x14ac:dyDescent="0.25">
      <c r="A416" s="55" t="s">
        <v>1309</v>
      </c>
      <c r="B416" s="55" t="s">
        <v>1310</v>
      </c>
      <c r="C416" s="55" t="s">
        <v>1311</v>
      </c>
      <c r="D416" s="55" t="s">
        <v>246</v>
      </c>
      <c r="E416" s="55" t="s">
        <v>501</v>
      </c>
    </row>
    <row r="417" spans="1:5" ht="14.4" x14ac:dyDescent="0.25">
      <c r="A417" s="55" t="s">
        <v>1312</v>
      </c>
      <c r="B417" s="55" t="s">
        <v>1313</v>
      </c>
      <c r="C417" s="55" t="s">
        <v>733</v>
      </c>
      <c r="D417" s="55" t="s">
        <v>270</v>
      </c>
      <c r="E417" s="55" t="s">
        <v>367</v>
      </c>
    </row>
    <row r="418" spans="1:5" ht="14.4" x14ac:dyDescent="0.25">
      <c r="A418" s="55" t="s">
        <v>1314</v>
      </c>
      <c r="B418" s="55" t="s">
        <v>1315</v>
      </c>
      <c r="C418" s="55" t="s">
        <v>438</v>
      </c>
      <c r="D418" s="55" t="s">
        <v>270</v>
      </c>
      <c r="E418" s="55" t="s">
        <v>252</v>
      </c>
    </row>
    <row r="419" spans="1:5" ht="14.4" x14ac:dyDescent="0.25">
      <c r="A419" s="55" t="s">
        <v>1316</v>
      </c>
      <c r="B419" s="55" t="s">
        <v>1317</v>
      </c>
      <c r="C419" s="55" t="s">
        <v>715</v>
      </c>
      <c r="D419" s="55" t="s">
        <v>270</v>
      </c>
      <c r="E419" s="55" t="s">
        <v>300</v>
      </c>
    </row>
    <row r="420" spans="1:5" ht="14.4" x14ac:dyDescent="0.25">
      <c r="A420" s="55" t="s">
        <v>1318</v>
      </c>
      <c r="B420" s="55" t="s">
        <v>1319</v>
      </c>
      <c r="C420" s="55" t="s">
        <v>275</v>
      </c>
      <c r="D420" s="55" t="s">
        <v>449</v>
      </c>
      <c r="E420" s="55" t="s">
        <v>257</v>
      </c>
    </row>
    <row r="421" spans="1:5" ht="14.4" x14ac:dyDescent="0.25">
      <c r="A421" s="55" t="s">
        <v>1320</v>
      </c>
      <c r="B421" s="55" t="s">
        <v>1321</v>
      </c>
      <c r="C421" s="55" t="s">
        <v>715</v>
      </c>
      <c r="D421" s="55" t="s">
        <v>246</v>
      </c>
      <c r="E421" s="55" t="s">
        <v>300</v>
      </c>
    </row>
    <row r="422" spans="1:5" ht="14.4" x14ac:dyDescent="0.25">
      <c r="A422" s="55" t="s">
        <v>1322</v>
      </c>
      <c r="B422" s="55" t="s">
        <v>1323</v>
      </c>
      <c r="C422" s="55" t="s">
        <v>351</v>
      </c>
      <c r="D422" s="55" t="s">
        <v>237</v>
      </c>
      <c r="E422" s="55" t="s">
        <v>332</v>
      </c>
    </row>
    <row r="423" spans="1:5" ht="14.4" x14ac:dyDescent="0.25">
      <c r="A423" s="55" t="s">
        <v>1324</v>
      </c>
      <c r="B423" s="55" t="s">
        <v>1325</v>
      </c>
      <c r="C423" s="55" t="s">
        <v>912</v>
      </c>
      <c r="D423" s="55" t="s">
        <v>270</v>
      </c>
      <c r="E423" s="55" t="s">
        <v>300</v>
      </c>
    </row>
    <row r="424" spans="1:5" ht="14.4" x14ac:dyDescent="0.25">
      <c r="A424" s="55" t="s">
        <v>1326</v>
      </c>
      <c r="B424" s="55" t="s">
        <v>1327</v>
      </c>
      <c r="C424" s="55" t="s">
        <v>466</v>
      </c>
      <c r="D424" s="55" t="s">
        <v>320</v>
      </c>
      <c r="E424" s="55" t="s">
        <v>300</v>
      </c>
    </row>
    <row r="425" spans="1:5" ht="14.4" x14ac:dyDescent="0.25">
      <c r="A425" s="55" t="s">
        <v>1328</v>
      </c>
      <c r="B425" s="55" t="s">
        <v>1329</v>
      </c>
      <c r="C425" s="55" t="s">
        <v>279</v>
      </c>
      <c r="D425" s="55" t="s">
        <v>320</v>
      </c>
      <c r="E425" s="55" t="s">
        <v>257</v>
      </c>
    </row>
    <row r="426" spans="1:5" ht="14.4" x14ac:dyDescent="0.25">
      <c r="A426" s="55" t="s">
        <v>1330</v>
      </c>
      <c r="B426" s="55" t="s">
        <v>1331</v>
      </c>
      <c r="C426" s="55" t="s">
        <v>1332</v>
      </c>
      <c r="D426" s="55" t="s">
        <v>246</v>
      </c>
      <c r="E426" s="55" t="s">
        <v>533</v>
      </c>
    </row>
    <row r="427" spans="1:5" ht="14.4" x14ac:dyDescent="0.25">
      <c r="A427" s="55" t="s">
        <v>1333</v>
      </c>
      <c r="B427" s="55" t="s">
        <v>1334</v>
      </c>
      <c r="C427" s="55" t="s">
        <v>466</v>
      </c>
      <c r="D427" s="55" t="s">
        <v>236</v>
      </c>
      <c r="E427" s="55" t="s">
        <v>300</v>
      </c>
    </row>
    <row r="428" spans="1:5" ht="14.4" x14ac:dyDescent="0.25">
      <c r="A428" s="55" t="s">
        <v>1335</v>
      </c>
      <c r="B428" s="55" t="s">
        <v>1336</v>
      </c>
      <c r="C428" s="55" t="s">
        <v>626</v>
      </c>
      <c r="D428" s="55" t="s">
        <v>246</v>
      </c>
      <c r="E428" s="55" t="s">
        <v>296</v>
      </c>
    </row>
    <row r="429" spans="1:5" ht="14.4" x14ac:dyDescent="0.25">
      <c r="A429" s="55" t="s">
        <v>1337</v>
      </c>
      <c r="B429" s="55" t="s">
        <v>1338</v>
      </c>
      <c r="C429" s="55" t="s">
        <v>1339</v>
      </c>
      <c r="D429" s="55" t="s">
        <v>246</v>
      </c>
      <c r="E429" s="55" t="s">
        <v>252</v>
      </c>
    </row>
    <row r="430" spans="1:5" ht="14.4" x14ac:dyDescent="0.25">
      <c r="A430" s="55" t="s">
        <v>1340</v>
      </c>
      <c r="B430" s="55" t="s">
        <v>1341</v>
      </c>
      <c r="C430" s="55" t="s">
        <v>427</v>
      </c>
      <c r="D430" s="55" t="s">
        <v>320</v>
      </c>
      <c r="E430" s="55" t="s">
        <v>257</v>
      </c>
    </row>
    <row r="431" spans="1:5" ht="14.4" x14ac:dyDescent="0.25">
      <c r="A431" s="55" t="s">
        <v>1342</v>
      </c>
      <c r="B431" s="55" t="s">
        <v>1343</v>
      </c>
      <c r="C431" s="55" t="s">
        <v>715</v>
      </c>
      <c r="D431" s="55" t="s">
        <v>246</v>
      </c>
      <c r="E431" s="55" t="s">
        <v>300</v>
      </c>
    </row>
    <row r="432" spans="1:5" ht="14.4" x14ac:dyDescent="0.25">
      <c r="A432" s="55" t="s">
        <v>1344</v>
      </c>
      <c r="B432" s="55" t="s">
        <v>1345</v>
      </c>
      <c r="C432" s="55" t="s">
        <v>582</v>
      </c>
      <c r="D432" s="55" t="s">
        <v>246</v>
      </c>
      <c r="E432" s="55" t="s">
        <v>257</v>
      </c>
    </row>
    <row r="433" spans="1:5" ht="14.4" x14ac:dyDescent="0.25">
      <c r="A433" s="55" t="s">
        <v>1346</v>
      </c>
      <c r="B433" s="55" t="s">
        <v>1347</v>
      </c>
      <c r="C433" s="55" t="s">
        <v>1291</v>
      </c>
      <c r="D433" s="55" t="s">
        <v>246</v>
      </c>
      <c r="E433" s="55" t="s">
        <v>339</v>
      </c>
    </row>
    <row r="434" spans="1:5" ht="14.4" x14ac:dyDescent="0.25">
      <c r="A434" s="55" t="s">
        <v>1348</v>
      </c>
      <c r="B434" s="55" t="s">
        <v>1349</v>
      </c>
      <c r="C434" s="55" t="s">
        <v>1350</v>
      </c>
      <c r="D434" s="55" t="s">
        <v>246</v>
      </c>
      <c r="E434" s="55" t="s">
        <v>313</v>
      </c>
    </row>
    <row r="435" spans="1:5" ht="14.4" x14ac:dyDescent="0.25">
      <c r="A435" s="55" t="s">
        <v>1351</v>
      </c>
      <c r="B435" s="55" t="s">
        <v>1352</v>
      </c>
      <c r="C435" s="55" t="s">
        <v>288</v>
      </c>
      <c r="D435" s="55" t="s">
        <v>246</v>
      </c>
      <c r="E435" s="55" t="s">
        <v>257</v>
      </c>
    </row>
    <row r="436" spans="1:5" ht="14.4" x14ac:dyDescent="0.25">
      <c r="A436" s="55" t="s">
        <v>1353</v>
      </c>
      <c r="B436" s="55" t="s">
        <v>1354</v>
      </c>
      <c r="C436" s="55" t="s">
        <v>611</v>
      </c>
      <c r="D436" s="55" t="s">
        <v>246</v>
      </c>
      <c r="E436" s="55" t="s">
        <v>257</v>
      </c>
    </row>
    <row r="437" spans="1:5" ht="14.4" x14ac:dyDescent="0.25">
      <c r="A437" s="55" t="s">
        <v>1355</v>
      </c>
      <c r="B437" s="55" t="s">
        <v>1356</v>
      </c>
      <c r="C437" s="55" t="s">
        <v>288</v>
      </c>
      <c r="D437" s="55" t="s">
        <v>246</v>
      </c>
      <c r="E437" s="55" t="s">
        <v>257</v>
      </c>
    </row>
    <row r="438" spans="1:5" ht="14.4" x14ac:dyDescent="0.25">
      <c r="A438" s="55" t="s">
        <v>1357</v>
      </c>
      <c r="B438" s="55" t="s">
        <v>1358</v>
      </c>
      <c r="C438" s="55" t="s">
        <v>1359</v>
      </c>
      <c r="D438" s="55" t="s">
        <v>246</v>
      </c>
      <c r="E438" s="55" t="s">
        <v>257</v>
      </c>
    </row>
    <row r="439" spans="1:5" ht="14.4" x14ac:dyDescent="0.25">
      <c r="A439" s="55" t="s">
        <v>1360</v>
      </c>
      <c r="B439" s="55" t="s">
        <v>1361</v>
      </c>
      <c r="C439" s="55" t="s">
        <v>427</v>
      </c>
      <c r="D439" s="55" t="s">
        <v>320</v>
      </c>
      <c r="E439" s="55" t="s">
        <v>257</v>
      </c>
    </row>
    <row r="440" spans="1:5" ht="14.4" x14ac:dyDescent="0.25">
      <c r="A440" s="55" t="s">
        <v>1362</v>
      </c>
      <c r="B440" s="55" t="s">
        <v>1363</v>
      </c>
      <c r="C440" s="55" t="s">
        <v>582</v>
      </c>
      <c r="D440" s="55" t="s">
        <v>246</v>
      </c>
      <c r="E440" s="55" t="s">
        <v>257</v>
      </c>
    </row>
    <row r="441" spans="1:5" ht="14.4" x14ac:dyDescent="0.25">
      <c r="A441" s="55" t="s">
        <v>1364</v>
      </c>
      <c r="B441" s="55" t="s">
        <v>1365</v>
      </c>
      <c r="C441" s="55" t="s">
        <v>989</v>
      </c>
      <c r="D441" s="55" t="s">
        <v>320</v>
      </c>
      <c r="E441" s="55" t="s">
        <v>257</v>
      </c>
    </row>
    <row r="442" spans="1:5" ht="14.4" x14ac:dyDescent="0.25">
      <c r="A442" s="55" t="s">
        <v>1366</v>
      </c>
      <c r="B442" s="55" t="s">
        <v>1367</v>
      </c>
      <c r="C442" s="55" t="s">
        <v>351</v>
      </c>
      <c r="D442" s="55" t="s">
        <v>246</v>
      </c>
      <c r="E442" s="55" t="s">
        <v>332</v>
      </c>
    </row>
    <row r="443" spans="1:5" ht="14.4" x14ac:dyDescent="0.25">
      <c r="A443" s="55" t="s">
        <v>1368</v>
      </c>
      <c r="B443" s="55" t="s">
        <v>1369</v>
      </c>
      <c r="C443" s="55" t="s">
        <v>678</v>
      </c>
      <c r="D443" s="55" t="s">
        <v>236</v>
      </c>
      <c r="E443" s="55" t="s">
        <v>257</v>
      </c>
    </row>
    <row r="444" spans="1:5" ht="14.4" x14ac:dyDescent="0.25">
      <c r="A444" s="55" t="s">
        <v>1370</v>
      </c>
      <c r="B444" s="55" t="s">
        <v>1371</v>
      </c>
      <c r="C444" s="55" t="s">
        <v>733</v>
      </c>
      <c r="D444" s="55" t="s">
        <v>320</v>
      </c>
      <c r="E444" s="55" t="s">
        <v>367</v>
      </c>
    </row>
    <row r="445" spans="1:5" ht="14.4" x14ac:dyDescent="0.25">
      <c r="A445" s="55" t="s">
        <v>1372</v>
      </c>
      <c r="B445" s="55" t="s">
        <v>1373</v>
      </c>
      <c r="C445" s="55" t="s">
        <v>357</v>
      </c>
      <c r="D445" s="55" t="s">
        <v>320</v>
      </c>
      <c r="E445" s="55" t="s">
        <v>257</v>
      </c>
    </row>
    <row r="446" spans="1:5" ht="14.4" x14ac:dyDescent="0.25">
      <c r="A446" s="55" t="s">
        <v>1374</v>
      </c>
      <c r="B446" s="55" t="s">
        <v>1375</v>
      </c>
      <c r="C446" s="55" t="s">
        <v>514</v>
      </c>
      <c r="D446" s="55" t="s">
        <v>320</v>
      </c>
      <c r="E446" s="55" t="s">
        <v>257</v>
      </c>
    </row>
    <row r="447" spans="1:5" ht="14.4" x14ac:dyDescent="0.25">
      <c r="A447" s="55" t="s">
        <v>1376</v>
      </c>
      <c r="B447" s="55" t="s">
        <v>1377</v>
      </c>
      <c r="C447" s="55" t="s">
        <v>1247</v>
      </c>
      <c r="D447" s="55" t="s">
        <v>236</v>
      </c>
      <c r="E447" s="55" t="s">
        <v>343</v>
      </c>
    </row>
    <row r="448" spans="1:5" ht="14.4" x14ac:dyDescent="0.25">
      <c r="A448" s="55" t="s">
        <v>1378</v>
      </c>
      <c r="B448" s="55" t="s">
        <v>1379</v>
      </c>
      <c r="C448" s="55" t="s">
        <v>582</v>
      </c>
      <c r="D448" s="55" t="s">
        <v>246</v>
      </c>
      <c r="E448" s="55" t="s">
        <v>257</v>
      </c>
    </row>
    <row r="449" spans="1:5" ht="14.4" x14ac:dyDescent="0.25">
      <c r="A449" s="55" t="s">
        <v>1380</v>
      </c>
      <c r="B449" s="55" t="s">
        <v>1381</v>
      </c>
      <c r="C449" s="55" t="s">
        <v>466</v>
      </c>
      <c r="D449" s="55" t="s">
        <v>246</v>
      </c>
      <c r="E449" s="55" t="s">
        <v>300</v>
      </c>
    </row>
    <row r="450" spans="1:5" ht="14.4" x14ac:dyDescent="0.25">
      <c r="A450" s="55" t="s">
        <v>1382</v>
      </c>
      <c r="B450" s="55" t="s">
        <v>1383</v>
      </c>
      <c r="C450" s="55" t="s">
        <v>801</v>
      </c>
      <c r="D450" s="55" t="s">
        <v>246</v>
      </c>
      <c r="E450" s="55" t="s">
        <v>296</v>
      </c>
    </row>
    <row r="451" spans="1:5" ht="14.4" x14ac:dyDescent="0.25">
      <c r="A451" s="55" t="s">
        <v>1384</v>
      </c>
      <c r="B451" s="55" t="s">
        <v>1385</v>
      </c>
      <c r="C451" s="55" t="s">
        <v>1386</v>
      </c>
      <c r="D451" s="55" t="s">
        <v>246</v>
      </c>
      <c r="E451" s="55" t="s">
        <v>533</v>
      </c>
    </row>
    <row r="452" spans="1:5" ht="14.4" x14ac:dyDescent="0.25">
      <c r="A452" s="55" t="s">
        <v>1387</v>
      </c>
      <c r="B452" s="55" t="s">
        <v>1388</v>
      </c>
      <c r="C452" s="55" t="s">
        <v>697</v>
      </c>
      <c r="D452" s="55" t="s">
        <v>246</v>
      </c>
      <c r="E452" s="55" t="s">
        <v>313</v>
      </c>
    </row>
    <row r="453" spans="1:5" ht="14.4" x14ac:dyDescent="0.25">
      <c r="A453" s="55" t="s">
        <v>1389</v>
      </c>
      <c r="B453" s="55" t="s">
        <v>1390</v>
      </c>
      <c r="C453" s="55" t="s">
        <v>409</v>
      </c>
      <c r="D453" s="55" t="s">
        <v>246</v>
      </c>
      <c r="E453" s="55" t="s">
        <v>252</v>
      </c>
    </row>
    <row r="454" spans="1:5" ht="14.4" x14ac:dyDescent="0.25">
      <c r="A454" s="55" t="s">
        <v>1391</v>
      </c>
      <c r="B454" s="55" t="s">
        <v>1392</v>
      </c>
      <c r="C454" s="55" t="s">
        <v>715</v>
      </c>
      <c r="D454" s="55" t="s">
        <v>246</v>
      </c>
      <c r="E454" s="55" t="s">
        <v>300</v>
      </c>
    </row>
    <row r="455" spans="1:5" ht="14.4" x14ac:dyDescent="0.25">
      <c r="A455" s="55" t="s">
        <v>1393</v>
      </c>
      <c r="B455" s="55" t="s">
        <v>1394</v>
      </c>
      <c r="C455" s="55" t="s">
        <v>466</v>
      </c>
      <c r="D455" s="55" t="s">
        <v>246</v>
      </c>
      <c r="E455" s="55" t="s">
        <v>300</v>
      </c>
    </row>
    <row r="456" spans="1:5" ht="14.4" x14ac:dyDescent="0.25">
      <c r="A456" s="55" t="s">
        <v>1395</v>
      </c>
      <c r="B456" s="55" t="s">
        <v>1396</v>
      </c>
      <c r="C456" s="55" t="s">
        <v>299</v>
      </c>
      <c r="D456" s="55" t="s">
        <v>246</v>
      </c>
      <c r="E456" s="55" t="s">
        <v>300</v>
      </c>
    </row>
    <row r="457" spans="1:5" ht="14.4" x14ac:dyDescent="0.25">
      <c r="A457" s="55" t="s">
        <v>1397</v>
      </c>
      <c r="B457" s="55" t="s">
        <v>1398</v>
      </c>
      <c r="C457" s="55" t="s">
        <v>448</v>
      </c>
      <c r="D457" s="55" t="s">
        <v>270</v>
      </c>
      <c r="E457" s="55" t="s">
        <v>252</v>
      </c>
    </row>
    <row r="458" spans="1:5" ht="14.4" x14ac:dyDescent="0.25">
      <c r="A458" s="55" t="s">
        <v>1399</v>
      </c>
      <c r="B458" s="55" t="s">
        <v>1400</v>
      </c>
      <c r="C458" s="55" t="s">
        <v>466</v>
      </c>
      <c r="D458" s="55" t="s">
        <v>377</v>
      </c>
      <c r="E458" s="55" t="s">
        <v>300</v>
      </c>
    </row>
    <row r="459" spans="1:5" ht="14.4" x14ac:dyDescent="0.25">
      <c r="A459" s="55" t="s">
        <v>1401</v>
      </c>
      <c r="B459" s="55" t="s">
        <v>1402</v>
      </c>
      <c r="C459" s="55" t="s">
        <v>1205</v>
      </c>
      <c r="D459" s="55" t="s">
        <v>246</v>
      </c>
      <c r="E459" s="55" t="s">
        <v>257</v>
      </c>
    </row>
    <row r="460" spans="1:5" ht="14.4" x14ac:dyDescent="0.25">
      <c r="A460" s="55" t="s">
        <v>1403</v>
      </c>
      <c r="B460" s="55" t="s">
        <v>1404</v>
      </c>
      <c r="C460" s="55" t="s">
        <v>517</v>
      </c>
      <c r="D460" s="55" t="s">
        <v>246</v>
      </c>
      <c r="E460" s="55" t="s">
        <v>332</v>
      </c>
    </row>
    <row r="461" spans="1:5" ht="14.4" x14ac:dyDescent="0.25">
      <c r="A461" s="55" t="s">
        <v>1405</v>
      </c>
      <c r="B461" s="55" t="s">
        <v>1406</v>
      </c>
      <c r="C461" s="55" t="s">
        <v>656</v>
      </c>
      <c r="D461" s="55" t="s">
        <v>246</v>
      </c>
      <c r="E461" s="55" t="s">
        <v>285</v>
      </c>
    </row>
    <row r="462" spans="1:5" ht="14.4" x14ac:dyDescent="0.25">
      <c r="A462" s="55" t="s">
        <v>1407</v>
      </c>
      <c r="B462" s="55" t="s">
        <v>1408</v>
      </c>
      <c r="C462" s="55" t="s">
        <v>265</v>
      </c>
      <c r="D462" s="55" t="s">
        <v>237</v>
      </c>
      <c r="E462" s="55" t="s">
        <v>257</v>
      </c>
    </row>
    <row r="463" spans="1:5" ht="14.4" x14ac:dyDescent="0.25">
      <c r="A463" s="55" t="s">
        <v>1409</v>
      </c>
      <c r="B463" s="55" t="s">
        <v>1410</v>
      </c>
      <c r="C463" s="55" t="s">
        <v>357</v>
      </c>
      <c r="D463" s="55" t="s">
        <v>246</v>
      </c>
      <c r="E463" s="55" t="s">
        <v>257</v>
      </c>
    </row>
    <row r="464" spans="1:5" ht="14.4" x14ac:dyDescent="0.25">
      <c r="A464" s="55" t="s">
        <v>1411</v>
      </c>
      <c r="B464" s="55" t="s">
        <v>1412</v>
      </c>
      <c r="C464" s="55" t="s">
        <v>357</v>
      </c>
      <c r="D464" s="55" t="s">
        <v>246</v>
      </c>
      <c r="E464" s="55" t="s">
        <v>257</v>
      </c>
    </row>
    <row r="465" spans="1:5" ht="14.4" x14ac:dyDescent="0.25">
      <c r="A465" s="55" t="s">
        <v>1413</v>
      </c>
      <c r="B465" s="55" t="s">
        <v>1414</v>
      </c>
      <c r="C465" s="55" t="s">
        <v>697</v>
      </c>
      <c r="D465" s="55" t="s">
        <v>246</v>
      </c>
      <c r="E465" s="55" t="s">
        <v>313</v>
      </c>
    </row>
    <row r="466" spans="1:5" ht="14.4" x14ac:dyDescent="0.25">
      <c r="A466" s="55" t="s">
        <v>1415</v>
      </c>
      <c r="B466" s="55" t="s">
        <v>1416</v>
      </c>
      <c r="C466" s="55" t="s">
        <v>872</v>
      </c>
      <c r="D466" s="55" t="s">
        <v>246</v>
      </c>
      <c r="E466" s="55" t="s">
        <v>252</v>
      </c>
    </row>
    <row r="467" spans="1:5" ht="14.4" x14ac:dyDescent="0.25">
      <c r="A467" s="55" t="s">
        <v>1417</v>
      </c>
      <c r="B467" s="55" t="s">
        <v>1418</v>
      </c>
      <c r="C467" s="55" t="s">
        <v>1419</v>
      </c>
      <c r="D467" s="55" t="s">
        <v>270</v>
      </c>
      <c r="E467" s="55" t="s">
        <v>271</v>
      </c>
    </row>
    <row r="468" spans="1:5" ht="14.4" x14ac:dyDescent="0.25">
      <c r="A468" s="55" t="s">
        <v>1420</v>
      </c>
      <c r="B468" s="55" t="s">
        <v>1421</v>
      </c>
      <c r="C468" s="55" t="s">
        <v>1422</v>
      </c>
      <c r="D468" s="55" t="s">
        <v>246</v>
      </c>
      <c r="E468" s="55" t="s">
        <v>367</v>
      </c>
    </row>
    <row r="469" spans="1:5" ht="14.4" x14ac:dyDescent="0.25">
      <c r="A469" s="55" t="s">
        <v>1423</v>
      </c>
      <c r="B469" s="55" t="s">
        <v>1424</v>
      </c>
      <c r="C469" s="55" t="s">
        <v>288</v>
      </c>
      <c r="D469" s="55" t="s">
        <v>236</v>
      </c>
      <c r="E469" s="55" t="s">
        <v>257</v>
      </c>
    </row>
    <row r="470" spans="1:5" ht="14.4" x14ac:dyDescent="0.25">
      <c r="A470" s="55" t="s">
        <v>1425</v>
      </c>
      <c r="B470" s="55" t="s">
        <v>1426</v>
      </c>
      <c r="C470" s="55" t="s">
        <v>611</v>
      </c>
      <c r="D470" s="55" t="s">
        <v>236</v>
      </c>
      <c r="E470" s="55" t="s">
        <v>257</v>
      </c>
    </row>
    <row r="471" spans="1:5" ht="14.4" x14ac:dyDescent="0.25">
      <c r="A471" s="55" t="s">
        <v>1427</v>
      </c>
      <c r="B471" s="55" t="s">
        <v>1428</v>
      </c>
      <c r="C471" s="55" t="s">
        <v>357</v>
      </c>
      <c r="D471" s="55" t="s">
        <v>246</v>
      </c>
      <c r="E471" s="55" t="s">
        <v>257</v>
      </c>
    </row>
    <row r="472" spans="1:5" ht="14.4" x14ac:dyDescent="0.25">
      <c r="A472" s="55" t="s">
        <v>1429</v>
      </c>
      <c r="B472" s="55" t="s">
        <v>1430</v>
      </c>
      <c r="C472" s="55" t="s">
        <v>357</v>
      </c>
      <c r="D472" s="55" t="s">
        <v>246</v>
      </c>
      <c r="E472" s="55" t="s">
        <v>257</v>
      </c>
    </row>
    <row r="473" spans="1:5" ht="14.4" x14ac:dyDescent="0.25">
      <c r="A473" s="55" t="s">
        <v>1431</v>
      </c>
      <c r="B473" s="55" t="s">
        <v>1432</v>
      </c>
      <c r="C473" s="55" t="s">
        <v>1300</v>
      </c>
      <c r="D473" s="55" t="s">
        <v>246</v>
      </c>
      <c r="E473" s="55" t="s">
        <v>300</v>
      </c>
    </row>
    <row r="474" spans="1:5" ht="14.4" x14ac:dyDescent="0.25">
      <c r="A474" s="55" t="s">
        <v>1433</v>
      </c>
      <c r="B474" s="55" t="s">
        <v>1434</v>
      </c>
      <c r="C474" s="55" t="s">
        <v>383</v>
      </c>
      <c r="D474" s="55" t="s">
        <v>246</v>
      </c>
      <c r="E474" s="55" t="s">
        <v>252</v>
      </c>
    </row>
    <row r="475" spans="1:5" ht="14.4" x14ac:dyDescent="0.25">
      <c r="A475" s="55" t="s">
        <v>1435</v>
      </c>
      <c r="B475" s="55" t="s">
        <v>1436</v>
      </c>
      <c r="C475" s="55" t="s">
        <v>1437</v>
      </c>
      <c r="D475" s="55" t="s">
        <v>270</v>
      </c>
      <c r="E475" s="55" t="s">
        <v>271</v>
      </c>
    </row>
    <row r="476" spans="1:5" ht="14.4" x14ac:dyDescent="0.25">
      <c r="A476" s="55" t="s">
        <v>1438</v>
      </c>
      <c r="B476" s="55" t="s">
        <v>1439</v>
      </c>
      <c r="C476" s="55" t="s">
        <v>509</v>
      </c>
      <c r="D476" s="55" t="s">
        <v>270</v>
      </c>
      <c r="E476" s="55" t="s">
        <v>300</v>
      </c>
    </row>
    <row r="477" spans="1:5" ht="14.4" x14ac:dyDescent="0.25">
      <c r="A477" s="55" t="s">
        <v>1440</v>
      </c>
      <c r="B477" s="55" t="s">
        <v>1441</v>
      </c>
      <c r="C477" s="55" t="s">
        <v>640</v>
      </c>
      <c r="D477" s="55" t="s">
        <v>246</v>
      </c>
      <c r="E477" s="55" t="s">
        <v>367</v>
      </c>
    </row>
    <row r="478" spans="1:5" ht="14.4" x14ac:dyDescent="0.25">
      <c r="A478" s="55" t="s">
        <v>1442</v>
      </c>
      <c r="B478" s="55" t="s">
        <v>1443</v>
      </c>
      <c r="C478" s="55" t="s">
        <v>288</v>
      </c>
      <c r="D478" s="55" t="s">
        <v>236</v>
      </c>
      <c r="E478" s="55" t="s">
        <v>257</v>
      </c>
    </row>
    <row r="479" spans="1:5" ht="14.4" x14ac:dyDescent="0.25">
      <c r="A479" s="55" t="s">
        <v>1444</v>
      </c>
      <c r="B479" s="55" t="s">
        <v>1445</v>
      </c>
      <c r="C479" s="55" t="s">
        <v>640</v>
      </c>
      <c r="D479" s="55" t="s">
        <v>236</v>
      </c>
      <c r="E479" s="55" t="s">
        <v>367</v>
      </c>
    </row>
    <row r="480" spans="1:5" ht="14.4" x14ac:dyDescent="0.25">
      <c r="A480" s="55" t="s">
        <v>1446</v>
      </c>
      <c r="B480" s="55" t="s">
        <v>1447</v>
      </c>
      <c r="C480" s="55" t="s">
        <v>718</v>
      </c>
      <c r="D480" s="55" t="s">
        <v>237</v>
      </c>
      <c r="E480" s="55" t="s">
        <v>292</v>
      </c>
    </row>
    <row r="481" spans="1:5" ht="14.4" x14ac:dyDescent="0.25">
      <c r="A481" s="55" t="s">
        <v>1448</v>
      </c>
      <c r="B481" s="55" t="s">
        <v>1449</v>
      </c>
      <c r="C481" s="55" t="s">
        <v>1332</v>
      </c>
      <c r="D481" s="55" t="s">
        <v>284</v>
      </c>
      <c r="E481" s="55" t="s">
        <v>533</v>
      </c>
    </row>
    <row r="482" spans="1:5" ht="14.4" x14ac:dyDescent="0.25">
      <c r="A482" s="55" t="s">
        <v>1450</v>
      </c>
      <c r="B482" s="55" t="s">
        <v>1451</v>
      </c>
      <c r="C482" s="55" t="s">
        <v>623</v>
      </c>
      <c r="D482" s="55" t="s">
        <v>284</v>
      </c>
      <c r="E482" s="55" t="s">
        <v>367</v>
      </c>
    </row>
    <row r="483" spans="1:5" ht="14.4" x14ac:dyDescent="0.25">
      <c r="A483" s="55" t="s">
        <v>1452</v>
      </c>
      <c r="B483" s="55" t="s">
        <v>1453</v>
      </c>
      <c r="C483" s="55" t="s">
        <v>611</v>
      </c>
      <c r="D483" s="55" t="s">
        <v>284</v>
      </c>
      <c r="E483" s="55" t="s">
        <v>257</v>
      </c>
    </row>
    <row r="484" spans="1:5" ht="14.4" x14ac:dyDescent="0.25">
      <c r="A484" s="55" t="s">
        <v>1454</v>
      </c>
      <c r="B484" s="55" t="s">
        <v>1455</v>
      </c>
      <c r="C484" s="55" t="s">
        <v>295</v>
      </c>
      <c r="D484" s="55" t="s">
        <v>284</v>
      </c>
      <c r="E484" s="55" t="s">
        <v>296</v>
      </c>
    </row>
    <row r="485" spans="1:5" ht="14.4" x14ac:dyDescent="0.25">
      <c r="A485" s="55" t="s">
        <v>1456</v>
      </c>
      <c r="B485" s="55" t="s">
        <v>1457</v>
      </c>
      <c r="C485" s="55" t="s">
        <v>626</v>
      </c>
      <c r="D485" s="55" t="s">
        <v>270</v>
      </c>
      <c r="E485" s="55" t="s">
        <v>296</v>
      </c>
    </row>
    <row r="486" spans="1:5" ht="14.4" x14ac:dyDescent="0.25">
      <c r="A486" s="55" t="s">
        <v>1458</v>
      </c>
      <c r="B486" s="55" t="s">
        <v>1459</v>
      </c>
      <c r="C486" s="55" t="s">
        <v>1460</v>
      </c>
      <c r="D486" s="55" t="s">
        <v>284</v>
      </c>
      <c r="E486" s="55" t="s">
        <v>271</v>
      </c>
    </row>
    <row r="487" spans="1:5" ht="14.4" x14ac:dyDescent="0.25">
      <c r="A487" s="55" t="s">
        <v>1461</v>
      </c>
      <c r="B487" s="55" t="s">
        <v>1462</v>
      </c>
      <c r="C487" s="55" t="s">
        <v>536</v>
      </c>
      <c r="D487" s="55" t="s">
        <v>246</v>
      </c>
      <c r="E487" s="55" t="s">
        <v>252</v>
      </c>
    </row>
    <row r="488" spans="1:5" ht="14.4" x14ac:dyDescent="0.25">
      <c r="A488" s="55" t="s">
        <v>1463</v>
      </c>
      <c r="B488" s="55" t="s">
        <v>1464</v>
      </c>
      <c r="C488" s="55" t="s">
        <v>479</v>
      </c>
      <c r="D488" s="55" t="s">
        <v>246</v>
      </c>
      <c r="E488" s="55" t="s">
        <v>332</v>
      </c>
    </row>
    <row r="489" spans="1:5" ht="14.4" x14ac:dyDescent="0.25">
      <c r="A489" s="55" t="s">
        <v>1465</v>
      </c>
      <c r="B489" s="55" t="s">
        <v>1466</v>
      </c>
      <c r="C489" s="55" t="s">
        <v>279</v>
      </c>
      <c r="D489" s="55" t="s">
        <v>284</v>
      </c>
      <c r="E489" s="55" t="s">
        <v>257</v>
      </c>
    </row>
    <row r="490" spans="1:5" ht="14.4" x14ac:dyDescent="0.25">
      <c r="A490" s="55" t="s">
        <v>1467</v>
      </c>
      <c r="B490" s="55" t="s">
        <v>1468</v>
      </c>
      <c r="C490" s="55" t="s">
        <v>872</v>
      </c>
      <c r="D490" s="55" t="s">
        <v>270</v>
      </c>
      <c r="E490" s="55" t="s">
        <v>252</v>
      </c>
    </row>
    <row r="491" spans="1:5" ht="14.4" x14ac:dyDescent="0.25">
      <c r="A491" s="55" t="s">
        <v>1469</v>
      </c>
      <c r="B491" s="55" t="s">
        <v>1470</v>
      </c>
      <c r="C491" s="55" t="s">
        <v>1471</v>
      </c>
      <c r="D491" s="55" t="s">
        <v>246</v>
      </c>
      <c r="E491" s="55" t="s">
        <v>332</v>
      </c>
    </row>
    <row r="492" spans="1:5" ht="14.4" x14ac:dyDescent="0.25">
      <c r="A492" s="55" t="s">
        <v>1472</v>
      </c>
      <c r="B492" s="55" t="s">
        <v>1473</v>
      </c>
      <c r="C492" s="55" t="s">
        <v>718</v>
      </c>
      <c r="D492" s="55" t="s">
        <v>270</v>
      </c>
      <c r="E492" s="55" t="s">
        <v>292</v>
      </c>
    </row>
    <row r="493" spans="1:5" ht="14.4" x14ac:dyDescent="0.25">
      <c r="A493" s="55" t="s">
        <v>1474</v>
      </c>
      <c r="B493" s="55" t="s">
        <v>1475</v>
      </c>
      <c r="C493" s="55" t="s">
        <v>514</v>
      </c>
      <c r="D493" s="55" t="s">
        <v>284</v>
      </c>
      <c r="E493" s="55" t="s">
        <v>257</v>
      </c>
    </row>
    <row r="494" spans="1:5" ht="14.4" x14ac:dyDescent="0.25">
      <c r="A494" s="55" t="s">
        <v>1476</v>
      </c>
      <c r="B494" s="55" t="s">
        <v>1477</v>
      </c>
      <c r="C494" s="55" t="s">
        <v>1175</v>
      </c>
      <c r="D494" s="55" t="s">
        <v>270</v>
      </c>
      <c r="E494" s="55" t="s">
        <v>257</v>
      </c>
    </row>
    <row r="495" spans="1:5" ht="14.4" x14ac:dyDescent="0.25">
      <c r="A495" s="55" t="s">
        <v>1478</v>
      </c>
      <c r="B495" s="55" t="s">
        <v>1479</v>
      </c>
      <c r="C495" s="55" t="s">
        <v>626</v>
      </c>
      <c r="D495" s="55" t="s">
        <v>284</v>
      </c>
      <c r="E495" s="55" t="s">
        <v>296</v>
      </c>
    </row>
    <row r="496" spans="1:5" ht="14.4" x14ac:dyDescent="0.25">
      <c r="A496" s="55" t="s">
        <v>1480</v>
      </c>
      <c r="B496" s="55" t="s">
        <v>1481</v>
      </c>
      <c r="C496" s="55" t="s">
        <v>427</v>
      </c>
      <c r="D496" s="55" t="s">
        <v>237</v>
      </c>
      <c r="E496" s="55" t="s">
        <v>257</v>
      </c>
    </row>
    <row r="497" spans="1:5" ht="14.4" x14ac:dyDescent="0.25">
      <c r="A497" s="55" t="s">
        <v>1482</v>
      </c>
      <c r="B497" s="55" t="s">
        <v>1483</v>
      </c>
      <c r="C497" s="55" t="s">
        <v>342</v>
      </c>
      <c r="D497" s="55" t="s">
        <v>284</v>
      </c>
      <c r="E497" s="55" t="s">
        <v>343</v>
      </c>
    </row>
    <row r="498" spans="1:5" ht="14.4" x14ac:dyDescent="0.25">
      <c r="A498" s="55" t="s">
        <v>1484</v>
      </c>
      <c r="B498" s="55" t="s">
        <v>1485</v>
      </c>
      <c r="C498" s="55" t="s">
        <v>640</v>
      </c>
      <c r="D498" s="55" t="s">
        <v>246</v>
      </c>
      <c r="E498" s="55" t="s">
        <v>367</v>
      </c>
    </row>
    <row r="499" spans="1:5" ht="14.4" x14ac:dyDescent="0.25">
      <c r="A499" s="55" t="s">
        <v>1486</v>
      </c>
      <c r="B499" s="55" t="s">
        <v>1487</v>
      </c>
      <c r="C499" s="55" t="s">
        <v>640</v>
      </c>
      <c r="D499" s="55" t="s">
        <v>246</v>
      </c>
      <c r="E499" s="55" t="s">
        <v>367</v>
      </c>
    </row>
    <row r="500" spans="1:5" ht="14.4" x14ac:dyDescent="0.25">
      <c r="A500" s="55" t="s">
        <v>1488</v>
      </c>
      <c r="B500" s="55" t="s">
        <v>1489</v>
      </c>
      <c r="C500" s="55" t="s">
        <v>295</v>
      </c>
      <c r="D500" s="55" t="s">
        <v>320</v>
      </c>
      <c r="E500" s="55" t="s">
        <v>296</v>
      </c>
    </row>
    <row r="501" spans="1:5" ht="14.4" x14ac:dyDescent="0.25">
      <c r="A501" s="55" t="s">
        <v>1490</v>
      </c>
      <c r="B501" s="55" t="s">
        <v>1491</v>
      </c>
      <c r="C501" s="55" t="s">
        <v>884</v>
      </c>
      <c r="D501" s="55" t="s">
        <v>270</v>
      </c>
      <c r="E501" s="55" t="s">
        <v>343</v>
      </c>
    </row>
    <row r="502" spans="1:5" ht="14.4" x14ac:dyDescent="0.25">
      <c r="A502" s="55" t="s">
        <v>1492</v>
      </c>
      <c r="B502" s="55" t="s">
        <v>1493</v>
      </c>
      <c r="C502" s="55" t="s">
        <v>335</v>
      </c>
      <c r="D502" s="55" t="s">
        <v>237</v>
      </c>
      <c r="E502" s="55" t="s">
        <v>252</v>
      </c>
    </row>
    <row r="503" spans="1:5" ht="14.4" x14ac:dyDescent="0.25">
      <c r="A503" s="55" t="s">
        <v>1494</v>
      </c>
      <c r="B503" s="55" t="s">
        <v>1495</v>
      </c>
      <c r="C503" s="55" t="s">
        <v>656</v>
      </c>
      <c r="D503" s="55" t="s">
        <v>270</v>
      </c>
      <c r="E503" s="55" t="s">
        <v>285</v>
      </c>
    </row>
    <row r="504" spans="1:5" ht="14.4" x14ac:dyDescent="0.25">
      <c r="A504" s="55" t="s">
        <v>1496</v>
      </c>
      <c r="B504" s="55" t="s">
        <v>1497</v>
      </c>
      <c r="C504" s="55" t="s">
        <v>288</v>
      </c>
      <c r="D504" s="55" t="s">
        <v>320</v>
      </c>
      <c r="E504" s="55" t="s">
        <v>257</v>
      </c>
    </row>
    <row r="505" spans="1:5" ht="14.4" x14ac:dyDescent="0.25">
      <c r="A505" s="55" t="s">
        <v>1498</v>
      </c>
      <c r="B505" s="55" t="s">
        <v>1499</v>
      </c>
      <c r="C505" s="55" t="s">
        <v>640</v>
      </c>
      <c r="D505" s="55" t="s">
        <v>246</v>
      </c>
      <c r="E505" s="55" t="s">
        <v>367</v>
      </c>
    </row>
    <row r="506" spans="1:5" ht="14.4" x14ac:dyDescent="0.25">
      <c r="A506" s="55" t="s">
        <v>1500</v>
      </c>
      <c r="B506" s="55" t="s">
        <v>1501</v>
      </c>
      <c r="C506" s="55" t="s">
        <v>1238</v>
      </c>
      <c r="D506" s="55" t="s">
        <v>284</v>
      </c>
      <c r="E506" s="55" t="s">
        <v>257</v>
      </c>
    </row>
    <row r="507" spans="1:5" ht="14.4" x14ac:dyDescent="0.25">
      <c r="A507" s="55" t="s">
        <v>1502</v>
      </c>
      <c r="B507" s="55" t="s">
        <v>1503</v>
      </c>
      <c r="C507" s="55" t="s">
        <v>715</v>
      </c>
      <c r="D507" s="55" t="s">
        <v>377</v>
      </c>
      <c r="E507" s="55" t="s">
        <v>300</v>
      </c>
    </row>
    <row r="508" spans="1:5" ht="14.4" x14ac:dyDescent="0.25">
      <c r="A508" s="55" t="s">
        <v>1504</v>
      </c>
      <c r="B508" s="55" t="s">
        <v>1505</v>
      </c>
      <c r="C508" s="55" t="s">
        <v>388</v>
      </c>
      <c r="D508" s="55" t="s">
        <v>237</v>
      </c>
      <c r="E508" s="55" t="s">
        <v>257</v>
      </c>
    </row>
    <row r="509" spans="1:5" ht="14.4" x14ac:dyDescent="0.25">
      <c r="A509" s="55" t="s">
        <v>1506</v>
      </c>
      <c r="B509" s="55" t="s">
        <v>1507</v>
      </c>
      <c r="C509" s="55" t="s">
        <v>877</v>
      </c>
      <c r="D509" s="55" t="s">
        <v>237</v>
      </c>
      <c r="E509" s="55" t="s">
        <v>292</v>
      </c>
    </row>
    <row r="510" spans="1:5" ht="14.4" x14ac:dyDescent="0.25">
      <c r="A510" s="55" t="s">
        <v>1508</v>
      </c>
      <c r="B510" s="55" t="s">
        <v>1509</v>
      </c>
      <c r="C510" s="55" t="s">
        <v>715</v>
      </c>
      <c r="D510" s="55" t="s">
        <v>246</v>
      </c>
      <c r="E510" s="55" t="s">
        <v>501</v>
      </c>
    </row>
    <row r="511" spans="1:5" ht="14.4" x14ac:dyDescent="0.25">
      <c r="A511" s="55" t="s">
        <v>1510</v>
      </c>
      <c r="B511" s="55" t="s">
        <v>1511</v>
      </c>
      <c r="C511" s="55" t="s">
        <v>528</v>
      </c>
      <c r="D511" s="55" t="s">
        <v>284</v>
      </c>
      <c r="E511" s="55" t="s">
        <v>257</v>
      </c>
    </row>
    <row r="512" spans="1:5" ht="14.4" x14ac:dyDescent="0.25">
      <c r="A512" s="55" t="s">
        <v>1512</v>
      </c>
      <c r="B512" s="55" t="s">
        <v>1513</v>
      </c>
      <c r="C512" s="55" t="s">
        <v>623</v>
      </c>
      <c r="D512" s="55" t="s">
        <v>284</v>
      </c>
      <c r="E512" s="55" t="s">
        <v>367</v>
      </c>
    </row>
    <row r="513" spans="1:5" ht="14.4" x14ac:dyDescent="0.25">
      <c r="A513" s="55" t="s">
        <v>1514</v>
      </c>
      <c r="B513" s="55" t="s">
        <v>1515</v>
      </c>
      <c r="C513" s="55" t="s">
        <v>718</v>
      </c>
      <c r="D513" s="55" t="s">
        <v>284</v>
      </c>
      <c r="E513" s="55" t="s">
        <v>292</v>
      </c>
    </row>
    <row r="514" spans="1:5" ht="14.4" x14ac:dyDescent="0.25">
      <c r="A514" s="55" t="s">
        <v>1516</v>
      </c>
      <c r="B514" s="55" t="s">
        <v>1517</v>
      </c>
      <c r="C514" s="55" t="s">
        <v>1518</v>
      </c>
      <c r="D514" s="55" t="s">
        <v>284</v>
      </c>
      <c r="E514" s="55" t="s">
        <v>292</v>
      </c>
    </row>
    <row r="515" spans="1:5" ht="14.4" x14ac:dyDescent="0.25">
      <c r="A515" s="55" t="s">
        <v>1519</v>
      </c>
      <c r="B515" s="55" t="s">
        <v>1520</v>
      </c>
      <c r="C515" s="55" t="s">
        <v>279</v>
      </c>
      <c r="D515" s="55" t="s">
        <v>320</v>
      </c>
      <c r="E515" s="55" t="s">
        <v>257</v>
      </c>
    </row>
    <row r="516" spans="1:5" ht="14.4" x14ac:dyDescent="0.25">
      <c r="A516" s="55" t="s">
        <v>1521</v>
      </c>
      <c r="B516" s="55" t="s">
        <v>1522</v>
      </c>
      <c r="C516" s="55" t="s">
        <v>1523</v>
      </c>
      <c r="D516" s="55" t="s">
        <v>270</v>
      </c>
      <c r="E516" s="55" t="s">
        <v>292</v>
      </c>
    </row>
    <row r="517" spans="1:5" ht="14.4" x14ac:dyDescent="0.25">
      <c r="A517" s="55" t="s">
        <v>1524</v>
      </c>
      <c r="B517" s="55" t="s">
        <v>1525</v>
      </c>
      <c r="C517" s="55" t="s">
        <v>357</v>
      </c>
      <c r="D517" s="55" t="s">
        <v>284</v>
      </c>
      <c r="E517" s="55" t="s">
        <v>257</v>
      </c>
    </row>
    <row r="518" spans="1:5" ht="14.4" x14ac:dyDescent="0.25">
      <c r="A518" s="55" t="s">
        <v>1526</v>
      </c>
      <c r="B518" s="55" t="s">
        <v>1527</v>
      </c>
      <c r="C518" s="55" t="s">
        <v>718</v>
      </c>
      <c r="D518" s="55" t="s">
        <v>270</v>
      </c>
      <c r="E518" s="55" t="s">
        <v>292</v>
      </c>
    </row>
    <row r="519" spans="1:5" ht="14.4" x14ac:dyDescent="0.25">
      <c r="A519" s="55" t="s">
        <v>1528</v>
      </c>
      <c r="B519" s="55" t="s">
        <v>1529</v>
      </c>
      <c r="C519" s="55" t="s">
        <v>427</v>
      </c>
      <c r="D519" s="55" t="s">
        <v>320</v>
      </c>
      <c r="E519" s="55" t="s">
        <v>257</v>
      </c>
    </row>
    <row r="520" spans="1:5" ht="14.4" x14ac:dyDescent="0.25">
      <c r="A520" s="55" t="s">
        <v>1530</v>
      </c>
      <c r="B520" s="55" t="s">
        <v>1531</v>
      </c>
      <c r="C520" s="55" t="s">
        <v>1532</v>
      </c>
      <c r="D520" s="55" t="s">
        <v>246</v>
      </c>
      <c r="E520" s="55" t="s">
        <v>343</v>
      </c>
    </row>
    <row r="521" spans="1:5" ht="14.4" x14ac:dyDescent="0.25">
      <c r="A521" s="55" t="s">
        <v>1533</v>
      </c>
      <c r="B521" s="55" t="s">
        <v>1534</v>
      </c>
      <c r="C521" s="55" t="s">
        <v>388</v>
      </c>
      <c r="D521" s="55" t="s">
        <v>284</v>
      </c>
      <c r="E521" s="55" t="s">
        <v>257</v>
      </c>
    </row>
    <row r="522" spans="1:5" ht="14.4" x14ac:dyDescent="0.25">
      <c r="A522" s="55" t="s">
        <v>1535</v>
      </c>
      <c r="B522" s="55" t="s">
        <v>1536</v>
      </c>
      <c r="C522" s="55" t="s">
        <v>1166</v>
      </c>
      <c r="D522" s="55" t="s">
        <v>270</v>
      </c>
      <c r="E522" s="55" t="s">
        <v>317</v>
      </c>
    </row>
    <row r="523" spans="1:5" ht="14.4" x14ac:dyDescent="0.25">
      <c r="A523" s="55" t="s">
        <v>1537</v>
      </c>
      <c r="B523" s="55" t="s">
        <v>1538</v>
      </c>
      <c r="C523" s="55" t="s">
        <v>441</v>
      </c>
      <c r="D523" s="55" t="s">
        <v>270</v>
      </c>
      <c r="E523" s="55" t="s">
        <v>257</v>
      </c>
    </row>
    <row r="524" spans="1:5" ht="14.4" x14ac:dyDescent="0.25">
      <c r="A524" s="55" t="s">
        <v>1539</v>
      </c>
      <c r="B524" s="55" t="s">
        <v>1540</v>
      </c>
      <c r="C524" s="55" t="s">
        <v>441</v>
      </c>
      <c r="D524" s="55" t="s">
        <v>270</v>
      </c>
      <c r="E524" s="55" t="s">
        <v>257</v>
      </c>
    </row>
    <row r="525" spans="1:5" ht="14.4" x14ac:dyDescent="0.25">
      <c r="A525" s="55" t="s">
        <v>1541</v>
      </c>
      <c r="B525" s="55" t="s">
        <v>1542</v>
      </c>
      <c r="C525" s="55" t="s">
        <v>441</v>
      </c>
      <c r="D525" s="55" t="s">
        <v>270</v>
      </c>
      <c r="E525" s="55" t="s">
        <v>257</v>
      </c>
    </row>
    <row r="526" spans="1:5" ht="14.4" x14ac:dyDescent="0.25">
      <c r="A526" s="55" t="s">
        <v>1543</v>
      </c>
      <c r="B526" s="55" t="s">
        <v>1544</v>
      </c>
      <c r="C526" s="55" t="s">
        <v>514</v>
      </c>
      <c r="D526" s="55" t="s">
        <v>270</v>
      </c>
      <c r="E526" s="55" t="s">
        <v>257</v>
      </c>
    </row>
    <row r="527" spans="1:5" ht="14.4" x14ac:dyDescent="0.25">
      <c r="A527" s="55" t="s">
        <v>1545</v>
      </c>
      <c r="B527" s="55" t="s">
        <v>1546</v>
      </c>
      <c r="C527" s="55" t="s">
        <v>989</v>
      </c>
      <c r="D527" s="55" t="s">
        <v>284</v>
      </c>
      <c r="E527" s="55" t="s">
        <v>257</v>
      </c>
    </row>
    <row r="528" spans="1:5" ht="14.4" x14ac:dyDescent="0.25">
      <c r="A528" s="55" t="s">
        <v>1547</v>
      </c>
      <c r="B528" s="55" t="s">
        <v>1548</v>
      </c>
      <c r="C528" s="55" t="s">
        <v>715</v>
      </c>
      <c r="D528" s="55" t="s">
        <v>246</v>
      </c>
      <c r="E528" s="55" t="s">
        <v>501</v>
      </c>
    </row>
    <row r="529" spans="1:5" ht="14.4" x14ac:dyDescent="0.25">
      <c r="A529" s="55" t="s">
        <v>1549</v>
      </c>
      <c r="B529" s="55" t="s">
        <v>1550</v>
      </c>
      <c r="C529" s="55" t="s">
        <v>288</v>
      </c>
      <c r="D529" s="55" t="s">
        <v>237</v>
      </c>
      <c r="E529" s="55" t="s">
        <v>257</v>
      </c>
    </row>
    <row r="530" spans="1:5" ht="14.4" x14ac:dyDescent="0.25">
      <c r="A530" s="55" t="s">
        <v>1551</v>
      </c>
      <c r="B530" s="55" t="s">
        <v>1552</v>
      </c>
      <c r="C530" s="55" t="s">
        <v>1553</v>
      </c>
      <c r="D530" s="55" t="s">
        <v>246</v>
      </c>
      <c r="E530" s="55" t="s">
        <v>285</v>
      </c>
    </row>
    <row r="531" spans="1:5" ht="14.4" x14ac:dyDescent="0.25">
      <c r="A531" s="55" t="s">
        <v>1554</v>
      </c>
      <c r="B531" s="55" t="s">
        <v>1555</v>
      </c>
      <c r="C531" s="55" t="s">
        <v>678</v>
      </c>
      <c r="D531" s="55" t="s">
        <v>246</v>
      </c>
      <c r="E531" s="55" t="s">
        <v>257</v>
      </c>
    </row>
    <row r="532" spans="1:5" ht="14.4" x14ac:dyDescent="0.25">
      <c r="A532" s="55" t="s">
        <v>1556</v>
      </c>
      <c r="B532" s="55" t="s">
        <v>1557</v>
      </c>
      <c r="C532" s="55" t="s">
        <v>1558</v>
      </c>
      <c r="D532" s="55" t="s">
        <v>246</v>
      </c>
      <c r="E532" s="55" t="s">
        <v>257</v>
      </c>
    </row>
    <row r="533" spans="1:5" ht="14.4" x14ac:dyDescent="0.25">
      <c r="A533" s="55" t="s">
        <v>1559</v>
      </c>
      <c r="B533" s="55" t="s">
        <v>1560</v>
      </c>
      <c r="C533" s="55" t="s">
        <v>582</v>
      </c>
      <c r="D533" s="55" t="s">
        <v>246</v>
      </c>
      <c r="E533" s="55" t="s">
        <v>257</v>
      </c>
    </row>
    <row r="534" spans="1:5" ht="14.4" x14ac:dyDescent="0.25">
      <c r="A534" s="55" t="s">
        <v>1561</v>
      </c>
      <c r="B534" s="55" t="s">
        <v>1562</v>
      </c>
      <c r="C534" s="55" t="s">
        <v>288</v>
      </c>
      <c r="D534" s="55" t="s">
        <v>246</v>
      </c>
      <c r="E534" s="55" t="s">
        <v>257</v>
      </c>
    </row>
    <row r="535" spans="1:5" ht="14.4" x14ac:dyDescent="0.25">
      <c r="A535" s="55" t="s">
        <v>1563</v>
      </c>
      <c r="B535" s="55" t="s">
        <v>1564</v>
      </c>
      <c r="C535" s="55" t="s">
        <v>801</v>
      </c>
      <c r="D535" s="55" t="s">
        <v>246</v>
      </c>
      <c r="E535" s="55" t="s">
        <v>296</v>
      </c>
    </row>
    <row r="536" spans="1:5" ht="14.4" x14ac:dyDescent="0.25">
      <c r="A536" s="55" t="s">
        <v>1565</v>
      </c>
      <c r="B536" s="55" t="s">
        <v>1566</v>
      </c>
      <c r="C536" s="55" t="s">
        <v>718</v>
      </c>
      <c r="D536" s="55" t="s">
        <v>246</v>
      </c>
      <c r="E536" s="55" t="s">
        <v>292</v>
      </c>
    </row>
    <row r="537" spans="1:5" ht="14.4" x14ac:dyDescent="0.25">
      <c r="A537" s="55" t="s">
        <v>1567</v>
      </c>
      <c r="B537" s="55" t="s">
        <v>1568</v>
      </c>
      <c r="C537" s="55" t="s">
        <v>288</v>
      </c>
      <c r="D537" s="55" t="s">
        <v>246</v>
      </c>
      <c r="E537" s="55" t="s">
        <v>257</v>
      </c>
    </row>
    <row r="538" spans="1:5" ht="14.4" x14ac:dyDescent="0.25">
      <c r="A538" s="55" t="s">
        <v>1569</v>
      </c>
      <c r="B538" s="55" t="s">
        <v>1570</v>
      </c>
      <c r="C538" s="55" t="s">
        <v>514</v>
      </c>
      <c r="D538" s="55" t="s">
        <v>236</v>
      </c>
      <c r="E538" s="55" t="s">
        <v>257</v>
      </c>
    </row>
    <row r="539" spans="1:5" ht="14.4" x14ac:dyDescent="0.25">
      <c r="A539" s="55" t="s">
        <v>1571</v>
      </c>
      <c r="B539" s="55" t="s">
        <v>1572</v>
      </c>
      <c r="C539" s="55" t="s">
        <v>611</v>
      </c>
      <c r="D539" s="55" t="s">
        <v>320</v>
      </c>
      <c r="E539" s="55" t="s">
        <v>257</v>
      </c>
    </row>
    <row r="540" spans="1:5" ht="14.4" x14ac:dyDescent="0.25">
      <c r="A540" s="55" t="s">
        <v>1573</v>
      </c>
      <c r="B540" s="55" t="s">
        <v>1574</v>
      </c>
      <c r="C540" s="55" t="s">
        <v>288</v>
      </c>
      <c r="D540" s="55" t="s">
        <v>320</v>
      </c>
      <c r="E540" s="55" t="s">
        <v>257</v>
      </c>
    </row>
    <row r="541" spans="1:5" ht="14.4" x14ac:dyDescent="0.25">
      <c r="A541" s="55" t="s">
        <v>1575</v>
      </c>
      <c r="B541" s="55" t="s">
        <v>1576</v>
      </c>
      <c r="C541" s="55" t="s">
        <v>1050</v>
      </c>
      <c r="D541" s="55" t="s">
        <v>236</v>
      </c>
      <c r="E541" s="55" t="s">
        <v>292</v>
      </c>
    </row>
    <row r="542" spans="1:5" ht="14.4" x14ac:dyDescent="0.25">
      <c r="A542" s="55" t="s">
        <v>1577</v>
      </c>
      <c r="B542" s="55" t="s">
        <v>1578</v>
      </c>
      <c r="C542" s="55" t="s">
        <v>640</v>
      </c>
      <c r="D542" s="55" t="s">
        <v>246</v>
      </c>
      <c r="E542" s="55" t="s">
        <v>367</v>
      </c>
    </row>
    <row r="543" spans="1:5" ht="14.4" x14ac:dyDescent="0.25">
      <c r="A543" s="55" t="s">
        <v>1579</v>
      </c>
      <c r="B543" s="55" t="s">
        <v>1580</v>
      </c>
      <c r="C543" s="55" t="s">
        <v>514</v>
      </c>
      <c r="D543" s="55" t="s">
        <v>284</v>
      </c>
      <c r="E543" s="55" t="s">
        <v>257</v>
      </c>
    </row>
    <row r="544" spans="1:5" ht="14.4" x14ac:dyDescent="0.25">
      <c r="A544" s="55" t="s">
        <v>1581</v>
      </c>
      <c r="B544" s="55" t="s">
        <v>1582</v>
      </c>
      <c r="C544" s="55" t="s">
        <v>388</v>
      </c>
      <c r="D544" s="55" t="s">
        <v>270</v>
      </c>
      <c r="E544" s="55" t="s">
        <v>257</v>
      </c>
    </row>
    <row r="545" spans="1:5" ht="14.4" x14ac:dyDescent="0.25">
      <c r="A545" s="55" t="s">
        <v>1583</v>
      </c>
      <c r="B545" s="55" t="s">
        <v>1584</v>
      </c>
      <c r="C545" s="55" t="s">
        <v>611</v>
      </c>
      <c r="D545" s="55" t="s">
        <v>270</v>
      </c>
      <c r="E545" s="55" t="s">
        <v>257</v>
      </c>
    </row>
    <row r="546" spans="1:5" ht="14.4" x14ac:dyDescent="0.25">
      <c r="A546" s="55" t="s">
        <v>1585</v>
      </c>
      <c r="B546" s="55" t="s">
        <v>1586</v>
      </c>
      <c r="C546" s="55" t="s">
        <v>611</v>
      </c>
      <c r="D546" s="55" t="s">
        <v>270</v>
      </c>
      <c r="E546" s="55" t="s">
        <v>257</v>
      </c>
    </row>
    <row r="547" spans="1:5" ht="14.4" x14ac:dyDescent="0.25">
      <c r="A547" s="55" t="s">
        <v>1587</v>
      </c>
      <c r="B547" s="55" t="s">
        <v>1588</v>
      </c>
      <c r="C547" s="55" t="s">
        <v>1589</v>
      </c>
      <c r="D547" s="55" t="s">
        <v>236</v>
      </c>
      <c r="E547" s="55" t="s">
        <v>285</v>
      </c>
    </row>
    <row r="548" spans="1:5" ht="14.4" x14ac:dyDescent="0.25">
      <c r="A548" s="55" t="s">
        <v>1590</v>
      </c>
      <c r="B548" s="55" t="s">
        <v>1591</v>
      </c>
      <c r="C548" s="55" t="s">
        <v>279</v>
      </c>
      <c r="D548" s="55" t="s">
        <v>284</v>
      </c>
      <c r="E548" s="55" t="s">
        <v>257</v>
      </c>
    </row>
    <row r="549" spans="1:5" ht="14.4" x14ac:dyDescent="0.25">
      <c r="A549" s="55" t="s">
        <v>1592</v>
      </c>
      <c r="B549" s="55" t="s">
        <v>1593</v>
      </c>
      <c r="C549" s="55" t="s">
        <v>715</v>
      </c>
      <c r="D549" s="55" t="s">
        <v>246</v>
      </c>
      <c r="E549" s="55" t="s">
        <v>300</v>
      </c>
    </row>
    <row r="550" spans="1:5" ht="14.4" x14ac:dyDescent="0.25">
      <c r="A550" s="55" t="s">
        <v>1594</v>
      </c>
      <c r="B550" s="55" t="s">
        <v>1595</v>
      </c>
      <c r="C550" s="55" t="s">
        <v>950</v>
      </c>
      <c r="D550" s="55" t="s">
        <v>246</v>
      </c>
      <c r="E550" s="55" t="s">
        <v>257</v>
      </c>
    </row>
    <row r="551" spans="1:5" ht="14.4" x14ac:dyDescent="0.25">
      <c r="A551" s="55" t="s">
        <v>1596</v>
      </c>
      <c r="B551" s="55" t="s">
        <v>1597</v>
      </c>
      <c r="C551" s="55" t="s">
        <v>715</v>
      </c>
      <c r="D551" s="55" t="s">
        <v>236</v>
      </c>
      <c r="E551" s="55" t="s">
        <v>300</v>
      </c>
    </row>
    <row r="552" spans="1:5" ht="14.4" x14ac:dyDescent="0.25">
      <c r="A552" s="55" t="s">
        <v>1598</v>
      </c>
      <c r="B552" s="55" t="s">
        <v>1599</v>
      </c>
      <c r="C552" s="55" t="s">
        <v>611</v>
      </c>
      <c r="D552" s="55" t="s">
        <v>246</v>
      </c>
      <c r="E552" s="55" t="s">
        <v>257</v>
      </c>
    </row>
    <row r="553" spans="1:5" ht="14.4" x14ac:dyDescent="0.25">
      <c r="A553" s="55" t="s">
        <v>1600</v>
      </c>
      <c r="B553" s="55" t="s">
        <v>1601</v>
      </c>
      <c r="C553" s="55" t="s">
        <v>611</v>
      </c>
      <c r="D553" s="55" t="s">
        <v>377</v>
      </c>
      <c r="E553" s="55" t="s">
        <v>257</v>
      </c>
    </row>
    <row r="554" spans="1:5" ht="14.4" x14ac:dyDescent="0.25">
      <c r="A554" s="55" t="s">
        <v>1602</v>
      </c>
      <c r="B554" s="55" t="s">
        <v>1603</v>
      </c>
      <c r="C554" s="55" t="s">
        <v>256</v>
      </c>
      <c r="D554" s="55" t="s">
        <v>270</v>
      </c>
      <c r="E554" s="55" t="s">
        <v>257</v>
      </c>
    </row>
    <row r="555" spans="1:5" ht="14.4" x14ac:dyDescent="0.25">
      <c r="A555" s="55" t="s">
        <v>1604</v>
      </c>
      <c r="B555" s="55" t="s">
        <v>1605</v>
      </c>
      <c r="C555" s="55" t="s">
        <v>357</v>
      </c>
      <c r="D555" s="55" t="s">
        <v>270</v>
      </c>
      <c r="E555" s="55" t="s">
        <v>257</v>
      </c>
    </row>
    <row r="556" spans="1:5" ht="14.4" x14ac:dyDescent="0.25">
      <c r="A556" s="55" t="s">
        <v>1490</v>
      </c>
      <c r="B556" s="55" t="s">
        <v>1606</v>
      </c>
      <c r="C556" s="55" t="s">
        <v>611</v>
      </c>
      <c r="D556" s="55" t="s">
        <v>237</v>
      </c>
      <c r="E556" s="55" t="s">
        <v>257</v>
      </c>
    </row>
    <row r="557" spans="1:5" ht="14.4" x14ac:dyDescent="0.25">
      <c r="A557" s="55" t="s">
        <v>1607</v>
      </c>
      <c r="B557" s="55" t="s">
        <v>1608</v>
      </c>
      <c r="C557" s="55" t="s">
        <v>840</v>
      </c>
      <c r="D557" s="55" t="s">
        <v>246</v>
      </c>
      <c r="E557" s="55" t="s">
        <v>271</v>
      </c>
    </row>
    <row r="558" spans="1:5" ht="14.4" x14ac:dyDescent="0.25">
      <c r="A558" s="55" t="s">
        <v>1609</v>
      </c>
      <c r="B558" s="55" t="s">
        <v>1610</v>
      </c>
      <c r="C558" s="55" t="s">
        <v>1332</v>
      </c>
      <c r="D558" s="55" t="s">
        <v>246</v>
      </c>
      <c r="E558" s="55" t="s">
        <v>533</v>
      </c>
    </row>
    <row r="559" spans="1:5" ht="14.4" x14ac:dyDescent="0.25">
      <c r="A559" s="55" t="s">
        <v>1611</v>
      </c>
      <c r="B559" s="55" t="s">
        <v>1612</v>
      </c>
      <c r="C559" s="55" t="s">
        <v>500</v>
      </c>
      <c r="D559" s="55" t="s">
        <v>246</v>
      </c>
      <c r="E559" s="55" t="s">
        <v>501</v>
      </c>
    </row>
    <row r="560" spans="1:5" ht="14.4" x14ac:dyDescent="0.25">
      <c r="A560" s="55" t="s">
        <v>1613</v>
      </c>
      <c r="B560" s="55" t="s">
        <v>1614</v>
      </c>
      <c r="C560" s="55" t="s">
        <v>611</v>
      </c>
      <c r="D560" s="55" t="s">
        <v>246</v>
      </c>
      <c r="E560" s="55" t="s">
        <v>257</v>
      </c>
    </row>
    <row r="561" spans="1:5" ht="14.4" x14ac:dyDescent="0.25">
      <c r="A561" s="55" t="s">
        <v>1615</v>
      </c>
      <c r="B561" s="55" t="s">
        <v>1616</v>
      </c>
      <c r="C561" s="55" t="s">
        <v>611</v>
      </c>
      <c r="D561" s="55" t="s">
        <v>246</v>
      </c>
      <c r="E561" s="55" t="s">
        <v>257</v>
      </c>
    </row>
    <row r="562" spans="1:5" ht="14.4" x14ac:dyDescent="0.25">
      <c r="A562" s="55" t="s">
        <v>1617</v>
      </c>
      <c r="B562" s="55" t="s">
        <v>1618</v>
      </c>
      <c r="C562" s="55" t="s">
        <v>733</v>
      </c>
      <c r="D562" s="55" t="s">
        <v>246</v>
      </c>
      <c r="E562" s="55" t="s">
        <v>367</v>
      </c>
    </row>
    <row r="563" spans="1:5" ht="14.4" x14ac:dyDescent="0.25">
      <c r="A563" s="55" t="s">
        <v>1619</v>
      </c>
      <c r="B563" s="55" t="s">
        <v>1620</v>
      </c>
      <c r="C563" s="55" t="s">
        <v>733</v>
      </c>
      <c r="D563" s="55" t="s">
        <v>246</v>
      </c>
      <c r="E563" s="55" t="s">
        <v>367</v>
      </c>
    </row>
    <row r="564" spans="1:5" ht="14.4" x14ac:dyDescent="0.25">
      <c r="A564" s="55" t="s">
        <v>1621</v>
      </c>
      <c r="B564" s="55" t="s">
        <v>1622</v>
      </c>
      <c r="C564" s="55" t="s">
        <v>733</v>
      </c>
      <c r="D564" s="55" t="s">
        <v>246</v>
      </c>
      <c r="E564" s="55" t="s">
        <v>367</v>
      </c>
    </row>
    <row r="565" spans="1:5" ht="14.4" x14ac:dyDescent="0.25">
      <c r="A565" s="55" t="s">
        <v>1623</v>
      </c>
      <c r="B565" s="55" t="s">
        <v>1624</v>
      </c>
      <c r="C565" s="55" t="s">
        <v>351</v>
      </c>
      <c r="D565" s="55" t="s">
        <v>246</v>
      </c>
      <c r="E565" s="55" t="s">
        <v>332</v>
      </c>
    </row>
    <row r="566" spans="1:5" ht="14.4" x14ac:dyDescent="0.25">
      <c r="A566" s="55" t="s">
        <v>1625</v>
      </c>
      <c r="B566" s="55" t="s">
        <v>1626</v>
      </c>
      <c r="C566" s="55" t="s">
        <v>718</v>
      </c>
      <c r="D566" s="55" t="s">
        <v>320</v>
      </c>
      <c r="E566" s="55" t="s">
        <v>292</v>
      </c>
    </row>
    <row r="567" spans="1:5" ht="14.4" x14ac:dyDescent="0.25">
      <c r="A567" s="55" t="s">
        <v>1627</v>
      </c>
      <c r="B567" s="55" t="s">
        <v>1628</v>
      </c>
      <c r="C567" s="55" t="s">
        <v>611</v>
      </c>
      <c r="D567" s="55" t="s">
        <v>320</v>
      </c>
      <c r="E567" s="55" t="s">
        <v>257</v>
      </c>
    </row>
    <row r="568" spans="1:5" ht="14.4" x14ac:dyDescent="0.25">
      <c r="A568" s="55" t="s">
        <v>1629</v>
      </c>
      <c r="B568" s="55" t="s">
        <v>1630</v>
      </c>
      <c r="C568" s="55" t="s">
        <v>1631</v>
      </c>
      <c r="D568" s="55" t="s">
        <v>246</v>
      </c>
      <c r="E568" s="55" t="s">
        <v>257</v>
      </c>
    </row>
    <row r="569" spans="1:5" ht="14.4" x14ac:dyDescent="0.25">
      <c r="A569" s="55" t="s">
        <v>1632</v>
      </c>
      <c r="B569" s="55" t="s">
        <v>1633</v>
      </c>
      <c r="C569" s="55" t="s">
        <v>279</v>
      </c>
      <c r="D569" s="55" t="s">
        <v>246</v>
      </c>
      <c r="E569" s="55" t="s">
        <v>257</v>
      </c>
    </row>
    <row r="570" spans="1:5" ht="14.4" x14ac:dyDescent="0.25">
      <c r="A570" s="55" t="s">
        <v>1634</v>
      </c>
      <c r="B570" s="55" t="s">
        <v>1635</v>
      </c>
      <c r="C570" s="55" t="s">
        <v>279</v>
      </c>
      <c r="D570" s="55" t="s">
        <v>270</v>
      </c>
      <c r="E570" s="55" t="s">
        <v>257</v>
      </c>
    </row>
    <row r="571" spans="1:5" ht="14.4" x14ac:dyDescent="0.25">
      <c r="A571" s="55" t="s">
        <v>1636</v>
      </c>
      <c r="B571" s="55" t="s">
        <v>1637</v>
      </c>
      <c r="C571" s="55" t="s">
        <v>678</v>
      </c>
      <c r="D571" s="55" t="s">
        <v>270</v>
      </c>
      <c r="E571" s="55" t="s">
        <v>257</v>
      </c>
    </row>
    <row r="572" spans="1:5" ht="14.4" x14ac:dyDescent="0.25">
      <c r="A572" s="55" t="s">
        <v>1638</v>
      </c>
      <c r="B572" s="55" t="s">
        <v>1639</v>
      </c>
      <c r="C572" s="55" t="s">
        <v>1640</v>
      </c>
      <c r="D572" s="55" t="s">
        <v>246</v>
      </c>
      <c r="E572" s="55" t="s">
        <v>271</v>
      </c>
    </row>
    <row r="573" spans="1:5" ht="14.4" x14ac:dyDescent="0.25">
      <c r="A573" s="55" t="s">
        <v>1641</v>
      </c>
      <c r="B573" s="55" t="s">
        <v>1642</v>
      </c>
      <c r="C573" s="55" t="s">
        <v>514</v>
      </c>
      <c r="D573" s="55" t="s">
        <v>246</v>
      </c>
      <c r="E573" s="55" t="s">
        <v>257</v>
      </c>
    </row>
    <row r="574" spans="1:5" ht="14.4" x14ac:dyDescent="0.25">
      <c r="A574" s="55" t="s">
        <v>1643</v>
      </c>
      <c r="B574" s="55" t="s">
        <v>1644</v>
      </c>
      <c r="C574" s="55" t="s">
        <v>331</v>
      </c>
      <c r="D574" s="55" t="s">
        <v>284</v>
      </c>
      <c r="E574" s="55" t="s">
        <v>332</v>
      </c>
    </row>
    <row r="575" spans="1:5" ht="14.4" x14ac:dyDescent="0.25">
      <c r="A575" s="55" t="s">
        <v>1645</v>
      </c>
      <c r="B575" s="55" t="s">
        <v>1646</v>
      </c>
      <c r="C575" s="55" t="s">
        <v>611</v>
      </c>
      <c r="D575" s="55" t="s">
        <v>246</v>
      </c>
      <c r="E575" s="55" t="s">
        <v>257</v>
      </c>
    </row>
    <row r="576" spans="1:5" ht="14.4" x14ac:dyDescent="0.25">
      <c r="A576" s="55" t="s">
        <v>1647</v>
      </c>
      <c r="B576" s="55" t="s">
        <v>1648</v>
      </c>
      <c r="C576" s="55" t="s">
        <v>611</v>
      </c>
      <c r="D576" s="55" t="s">
        <v>246</v>
      </c>
      <c r="E576" s="55" t="s">
        <v>257</v>
      </c>
    </row>
    <row r="577" spans="1:5" ht="14.4" x14ac:dyDescent="0.25">
      <c r="A577" s="55" t="s">
        <v>1649</v>
      </c>
      <c r="B577" s="55" t="s">
        <v>1650</v>
      </c>
      <c r="C577" s="55" t="s">
        <v>718</v>
      </c>
      <c r="D577" s="55" t="s">
        <v>246</v>
      </c>
      <c r="E577" s="55" t="s">
        <v>292</v>
      </c>
    </row>
    <row r="578" spans="1:5" ht="14.4" x14ac:dyDescent="0.25">
      <c r="A578" s="55" t="s">
        <v>1651</v>
      </c>
      <c r="B578" s="55" t="s">
        <v>1652</v>
      </c>
      <c r="C578" s="55" t="s">
        <v>514</v>
      </c>
      <c r="D578" s="55" t="s">
        <v>320</v>
      </c>
      <c r="E578" s="55" t="s">
        <v>257</v>
      </c>
    </row>
    <row r="579" spans="1:5" ht="14.4" x14ac:dyDescent="0.25">
      <c r="A579" s="55" t="s">
        <v>1653</v>
      </c>
      <c r="B579" s="55" t="s">
        <v>1654</v>
      </c>
      <c r="C579" s="55" t="s">
        <v>611</v>
      </c>
      <c r="D579" s="55" t="s">
        <v>246</v>
      </c>
      <c r="E579" s="55" t="s">
        <v>257</v>
      </c>
    </row>
    <row r="580" spans="1:5" ht="14.4" x14ac:dyDescent="0.25">
      <c r="A580" s="55" t="s">
        <v>1655</v>
      </c>
      <c r="B580" s="55" t="s">
        <v>1656</v>
      </c>
      <c r="C580" s="55" t="s">
        <v>1657</v>
      </c>
      <c r="D580" s="55" t="s">
        <v>246</v>
      </c>
      <c r="E580" s="55" t="s">
        <v>313</v>
      </c>
    </row>
    <row r="581" spans="1:5" ht="14.4" x14ac:dyDescent="0.25">
      <c r="A581" s="55" t="s">
        <v>1658</v>
      </c>
      <c r="B581" s="55" t="s">
        <v>1659</v>
      </c>
      <c r="C581" s="55" t="s">
        <v>992</v>
      </c>
      <c r="D581" s="55" t="s">
        <v>246</v>
      </c>
      <c r="E581" s="55" t="s">
        <v>257</v>
      </c>
    </row>
    <row r="582" spans="1:5" ht="14.4" x14ac:dyDescent="0.25">
      <c r="A582" s="55" t="s">
        <v>1660</v>
      </c>
      <c r="B582" s="55" t="s">
        <v>1661</v>
      </c>
      <c r="C582" s="55" t="s">
        <v>611</v>
      </c>
      <c r="D582" s="55" t="s">
        <v>246</v>
      </c>
      <c r="E582" s="55" t="s">
        <v>257</v>
      </c>
    </row>
    <row r="583" spans="1:5" ht="14.4" x14ac:dyDescent="0.25">
      <c r="A583" s="55" t="s">
        <v>1662</v>
      </c>
      <c r="B583" s="55" t="s">
        <v>1663</v>
      </c>
      <c r="C583" s="55" t="s">
        <v>1664</v>
      </c>
      <c r="D583" s="55" t="s">
        <v>246</v>
      </c>
      <c r="E583" s="55" t="s">
        <v>257</v>
      </c>
    </row>
    <row r="584" spans="1:5" ht="14.4" x14ac:dyDescent="0.25">
      <c r="A584" s="55" t="s">
        <v>1665</v>
      </c>
      <c r="B584" s="55" t="s">
        <v>1666</v>
      </c>
      <c r="C584" s="55" t="s">
        <v>514</v>
      </c>
      <c r="D584" s="55" t="s">
        <v>284</v>
      </c>
      <c r="E584" s="55" t="s">
        <v>257</v>
      </c>
    </row>
    <row r="585" spans="1:5" ht="14.4" x14ac:dyDescent="0.25">
      <c r="A585" s="55" t="s">
        <v>1667</v>
      </c>
      <c r="B585" s="55" t="s">
        <v>1668</v>
      </c>
      <c r="C585" s="55" t="s">
        <v>1669</v>
      </c>
      <c r="D585" s="55" t="s">
        <v>284</v>
      </c>
      <c r="E585" s="55" t="s">
        <v>257</v>
      </c>
    </row>
    <row r="586" spans="1:5" ht="14.4" x14ac:dyDescent="0.25">
      <c r="A586" s="55" t="s">
        <v>1670</v>
      </c>
      <c r="B586" s="55" t="s">
        <v>1671</v>
      </c>
      <c r="C586" s="55" t="s">
        <v>611</v>
      </c>
      <c r="D586" s="55" t="s">
        <v>237</v>
      </c>
      <c r="E586" s="55" t="s">
        <v>257</v>
      </c>
    </row>
    <row r="587" spans="1:5" ht="14.4" x14ac:dyDescent="0.25">
      <c r="A587" s="55" t="s">
        <v>1672</v>
      </c>
      <c r="B587" s="55" t="s">
        <v>1673</v>
      </c>
      <c r="C587" s="55" t="s">
        <v>514</v>
      </c>
      <c r="D587" s="55" t="s">
        <v>237</v>
      </c>
      <c r="E587" s="55" t="s">
        <v>257</v>
      </c>
    </row>
    <row r="588" spans="1:5" ht="14.4" x14ac:dyDescent="0.25">
      <c r="A588" s="55" t="s">
        <v>1674</v>
      </c>
      <c r="B588" s="55" t="s">
        <v>1675</v>
      </c>
      <c r="C588" s="55" t="s">
        <v>611</v>
      </c>
      <c r="D588" s="55" t="s">
        <v>237</v>
      </c>
      <c r="E588" s="55" t="s">
        <v>257</v>
      </c>
    </row>
    <row r="589" spans="1:5" ht="14.4" x14ac:dyDescent="0.25">
      <c r="A589" s="55" t="s">
        <v>1676</v>
      </c>
      <c r="B589" s="55" t="s">
        <v>1677</v>
      </c>
      <c r="C589" s="55" t="s">
        <v>623</v>
      </c>
      <c r="D589" s="55" t="s">
        <v>237</v>
      </c>
      <c r="E589" s="55" t="s">
        <v>367</v>
      </c>
    </row>
    <row r="590" spans="1:5" ht="14.4" x14ac:dyDescent="0.25">
      <c r="A590" s="55" t="s">
        <v>1678</v>
      </c>
      <c r="B590" s="55" t="s">
        <v>1679</v>
      </c>
      <c r="C590" s="55" t="s">
        <v>1523</v>
      </c>
      <c r="D590" s="55" t="s">
        <v>246</v>
      </c>
      <c r="E590" s="55" t="s">
        <v>292</v>
      </c>
    </row>
    <row r="591" spans="1:5" ht="14.4" x14ac:dyDescent="0.25">
      <c r="A591" s="55" t="s">
        <v>1680</v>
      </c>
      <c r="B591" s="55" t="s">
        <v>1681</v>
      </c>
      <c r="C591" s="55" t="s">
        <v>733</v>
      </c>
      <c r="D591" s="55" t="s">
        <v>246</v>
      </c>
      <c r="E591" s="55" t="s">
        <v>367</v>
      </c>
    </row>
    <row r="592" spans="1:5" ht="14.4" x14ac:dyDescent="0.25">
      <c r="A592" s="55" t="s">
        <v>1682</v>
      </c>
      <c r="B592" s="55" t="s">
        <v>1683</v>
      </c>
      <c r="C592" s="55" t="s">
        <v>678</v>
      </c>
      <c r="D592" s="55" t="s">
        <v>246</v>
      </c>
      <c r="E592" s="55" t="s">
        <v>257</v>
      </c>
    </row>
    <row r="593" spans="1:5" ht="14.4" x14ac:dyDescent="0.25">
      <c r="A593" s="55" t="s">
        <v>1684</v>
      </c>
      <c r="B593" s="55" t="s">
        <v>1685</v>
      </c>
      <c r="C593" s="55" t="s">
        <v>715</v>
      </c>
      <c r="D593" s="55" t="s">
        <v>246</v>
      </c>
      <c r="E593" s="55" t="s">
        <v>501</v>
      </c>
    </row>
    <row r="594" spans="1:5" ht="14.4" x14ac:dyDescent="0.25">
      <c r="A594" s="55" t="s">
        <v>1686</v>
      </c>
      <c r="B594" s="55" t="s">
        <v>1687</v>
      </c>
      <c r="C594" s="55" t="s">
        <v>514</v>
      </c>
      <c r="D594" s="55" t="s">
        <v>246</v>
      </c>
      <c r="E594" s="55" t="s">
        <v>257</v>
      </c>
    </row>
    <row r="595" spans="1:5" ht="14.4" x14ac:dyDescent="0.25">
      <c r="A595" s="55" t="s">
        <v>1688</v>
      </c>
      <c r="B595" s="55" t="s">
        <v>1689</v>
      </c>
      <c r="C595" s="55" t="s">
        <v>1247</v>
      </c>
      <c r="D595" s="55" t="s">
        <v>246</v>
      </c>
      <c r="E595" s="55" t="s">
        <v>343</v>
      </c>
    </row>
    <row r="596" spans="1:5" ht="14.4" x14ac:dyDescent="0.25">
      <c r="A596" s="55" t="s">
        <v>1690</v>
      </c>
      <c r="B596" s="55" t="s">
        <v>1691</v>
      </c>
      <c r="C596" s="55" t="s">
        <v>611</v>
      </c>
      <c r="D596" s="55" t="s">
        <v>270</v>
      </c>
      <c r="E596" s="55" t="s">
        <v>257</v>
      </c>
    </row>
    <row r="597" spans="1:5" ht="14.4" x14ac:dyDescent="0.25">
      <c r="A597" s="55" t="s">
        <v>1692</v>
      </c>
      <c r="B597" s="55" t="s">
        <v>1693</v>
      </c>
      <c r="C597" s="55" t="s">
        <v>733</v>
      </c>
      <c r="D597" s="55" t="s">
        <v>236</v>
      </c>
      <c r="E597" s="55" t="s">
        <v>367</v>
      </c>
    </row>
    <row r="598" spans="1:5" ht="14.4" x14ac:dyDescent="0.25">
      <c r="A598" s="55" t="s">
        <v>1694</v>
      </c>
      <c r="B598" s="55" t="s">
        <v>1695</v>
      </c>
      <c r="C598" s="55" t="s">
        <v>640</v>
      </c>
      <c r="D598" s="55" t="s">
        <v>246</v>
      </c>
      <c r="E598" s="55" t="s">
        <v>367</v>
      </c>
    </row>
  </sheetData>
  <mergeCells count="1">
    <mergeCell ref="G10:J1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9753-59A1-4017-A30E-7C92564B5B90}">
  <sheetPr>
    <tabColor theme="9" tint="0.79998168889431442"/>
  </sheetPr>
  <dimension ref="A1:K18"/>
  <sheetViews>
    <sheetView showGridLines="0" zoomScale="115" zoomScaleNormal="115" workbookViewId="0">
      <selection activeCell="K15" sqref="K15"/>
    </sheetView>
  </sheetViews>
  <sheetFormatPr defaultRowHeight="14.4" x14ac:dyDescent="0.3"/>
  <cols>
    <col min="1" max="1" width="17.3984375" style="45" bestFit="1" customWidth="1"/>
    <col min="2" max="2" width="13" style="45" bestFit="1" customWidth="1"/>
    <col min="3" max="3" width="7.59765625" style="45" bestFit="1" customWidth="1"/>
    <col min="4" max="4" width="8.796875" style="45"/>
    <col min="5" max="5" width="12.69921875" style="45" customWidth="1"/>
    <col min="6" max="6" width="13.3984375" style="45" bestFit="1" customWidth="1"/>
    <col min="7" max="7" width="6.59765625" style="45" customWidth="1"/>
    <col min="8" max="8" width="8.796875" style="45" hidden="1" customWidth="1"/>
    <col min="9" max="9" width="8.796875" style="45"/>
    <col min="10" max="10" width="17.3984375" style="45" bestFit="1" customWidth="1"/>
    <col min="11" max="11" width="11.3984375" style="45" bestFit="1" customWidth="1"/>
    <col min="12" max="16384" width="8.796875" style="45"/>
  </cols>
  <sheetData>
    <row r="1" spans="1:11" x14ac:dyDescent="0.3">
      <c r="A1" s="57" t="s">
        <v>1696</v>
      </c>
      <c r="B1" s="57" t="s">
        <v>1697</v>
      </c>
      <c r="C1" s="57" t="s">
        <v>1698</v>
      </c>
      <c r="J1" s="57" t="s">
        <v>1699</v>
      </c>
      <c r="K1" s="57" t="s">
        <v>1696</v>
      </c>
    </row>
    <row r="2" spans="1:11" x14ac:dyDescent="0.3">
      <c r="A2" s="58" t="s">
        <v>1716</v>
      </c>
      <c r="B2" s="58" t="s">
        <v>1700</v>
      </c>
      <c r="C2" s="59">
        <v>100</v>
      </c>
      <c r="J2" s="58" t="s">
        <v>1701</v>
      </c>
      <c r="K2" s="58" t="s">
        <v>1717</v>
      </c>
    </row>
    <row r="3" spans="1:11" x14ac:dyDescent="0.3">
      <c r="A3" s="58" t="s">
        <v>1716</v>
      </c>
      <c r="B3" s="58" t="s">
        <v>1702</v>
      </c>
      <c r="C3" s="59">
        <v>150</v>
      </c>
      <c r="J3" s="58" t="s">
        <v>1703</v>
      </c>
      <c r="K3" s="58" t="s">
        <v>1719</v>
      </c>
    </row>
    <row r="4" spans="1:11" x14ac:dyDescent="0.3">
      <c r="A4" s="58" t="s">
        <v>1717</v>
      </c>
      <c r="B4" s="58" t="s">
        <v>1704</v>
      </c>
      <c r="C4" s="59">
        <v>200</v>
      </c>
      <c r="J4" s="58" t="s">
        <v>1705</v>
      </c>
      <c r="K4" s="58" t="s">
        <v>1718</v>
      </c>
    </row>
    <row r="5" spans="1:11" x14ac:dyDescent="0.3">
      <c r="A5" s="58" t="s">
        <v>1718</v>
      </c>
      <c r="B5" s="58" t="s">
        <v>1706</v>
      </c>
      <c r="C5" s="59">
        <v>450</v>
      </c>
      <c r="J5" s="58" t="s">
        <v>1707</v>
      </c>
      <c r="K5" s="58" t="s">
        <v>1720</v>
      </c>
    </row>
    <row r="6" spans="1:11" x14ac:dyDescent="0.3">
      <c r="A6" s="58" t="s">
        <v>1719</v>
      </c>
      <c r="B6" s="58" t="s">
        <v>1708</v>
      </c>
      <c r="C6" s="59">
        <v>300</v>
      </c>
      <c r="J6" s="58" t="s">
        <v>1709</v>
      </c>
      <c r="K6" s="58" t="s">
        <v>1716</v>
      </c>
    </row>
    <row r="7" spans="1:11" x14ac:dyDescent="0.3">
      <c r="A7" s="58" t="s">
        <v>1719</v>
      </c>
      <c r="B7" s="58" t="s">
        <v>1710</v>
      </c>
      <c r="C7" s="59">
        <v>900</v>
      </c>
    </row>
    <row r="8" spans="1:11" x14ac:dyDescent="0.3">
      <c r="A8" s="58" t="s">
        <v>1718</v>
      </c>
      <c r="B8" s="58" t="s">
        <v>1711</v>
      </c>
      <c r="C8" s="59">
        <v>850</v>
      </c>
    </row>
    <row r="9" spans="1:11" x14ac:dyDescent="0.3">
      <c r="A9" s="58" t="s">
        <v>1720</v>
      </c>
      <c r="B9" s="58" t="s">
        <v>1712</v>
      </c>
      <c r="C9" s="59">
        <v>300</v>
      </c>
    </row>
    <row r="10" spans="1:11" x14ac:dyDescent="0.3">
      <c r="A10" s="58" t="s">
        <v>1716</v>
      </c>
      <c r="B10" s="58" t="s">
        <v>1713</v>
      </c>
      <c r="C10" s="59">
        <v>520</v>
      </c>
    </row>
    <row r="11" spans="1:11" x14ac:dyDescent="0.3">
      <c r="C11" s="60"/>
    </row>
    <row r="13" spans="1:11" x14ac:dyDescent="0.3">
      <c r="A13" s="57" t="s">
        <v>1714</v>
      </c>
      <c r="B13" s="57" t="s">
        <v>1715</v>
      </c>
    </row>
    <row r="14" spans="1:11" ht="15.6" x14ac:dyDescent="0.3">
      <c r="A14" s="58" t="s">
        <v>1705</v>
      </c>
      <c r="B14" s="58">
        <f>SUMIF(A2:A10,VLOOKUP(A14,J2:K6,3,FALSE),C2:C10)</f>
        <v>0</v>
      </c>
      <c r="D14" s="78" t="s">
        <v>42</v>
      </c>
    </row>
    <row r="15" spans="1:11" ht="14.4" customHeight="1" x14ac:dyDescent="0.3">
      <c r="A15" s="58" t="s">
        <v>1709</v>
      </c>
      <c r="B15" s="58">
        <f>SUMIF(A3:A12,VLOOKUP(A15,J3:K7,3,FALSE),C3:C12)</f>
        <v>0</v>
      </c>
      <c r="D15" s="95" t="s">
        <v>1739</v>
      </c>
      <c r="E15" s="96"/>
      <c r="F15" s="96"/>
      <c r="G15" s="96"/>
      <c r="H15" s="96"/>
      <c r="I15" s="96"/>
    </row>
    <row r="16" spans="1:11" ht="14.4" customHeight="1" x14ac:dyDescent="0.3">
      <c r="A16" s="58" t="s">
        <v>1701</v>
      </c>
      <c r="B16" s="58">
        <f>SUMIF(A4:A12,VLOOKUP(A16,J4:K8,3,FALSE),C4:C12)</f>
        <v>0</v>
      </c>
      <c r="D16" s="96"/>
      <c r="E16" s="96"/>
      <c r="F16" s="96"/>
      <c r="G16" s="96"/>
      <c r="H16" s="96"/>
      <c r="I16" s="96"/>
    </row>
    <row r="17" spans="1:9" ht="14.4" customHeight="1" x14ac:dyDescent="0.3">
      <c r="A17" s="58" t="s">
        <v>1703</v>
      </c>
      <c r="B17" s="58">
        <f>SUMIF(A5:A12,VLOOKUP(A17,J5:K9,3,FALSE),C5:C12)</f>
        <v>0</v>
      </c>
      <c r="D17" s="96"/>
      <c r="E17" s="96"/>
      <c r="F17" s="96"/>
      <c r="G17" s="96"/>
      <c r="H17" s="96"/>
      <c r="I17" s="96"/>
    </row>
    <row r="18" spans="1:9" x14ac:dyDescent="0.3">
      <c r="A18" s="58" t="s">
        <v>1707</v>
      </c>
      <c r="B18" s="58">
        <f>SUMIF(A6:A13,VLOOKUP(A18,J6:K10,3,FALSE),C6:C13)</f>
        <v>0</v>
      </c>
    </row>
  </sheetData>
  <mergeCells count="1">
    <mergeCell ref="D15:I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3DB1-6B24-4560-8851-BCA0BA696284}">
  <sheetPr>
    <tabColor theme="9" tint="0.79998168889431442"/>
  </sheetPr>
  <dimension ref="A1:N1000"/>
  <sheetViews>
    <sheetView showGridLines="0" workbookViewId="0">
      <selection activeCell="J20" sqref="A17:J20"/>
    </sheetView>
  </sheetViews>
  <sheetFormatPr defaultColWidth="12.59765625" defaultRowHeight="13.8" x14ac:dyDescent="0.25"/>
  <cols>
    <col min="1" max="1" width="12" bestFit="1" customWidth="1"/>
    <col min="2" max="2" width="24" bestFit="1" customWidth="1"/>
    <col min="3" max="3" width="37.69921875" bestFit="1" customWidth="1"/>
    <col min="4" max="4" width="9.5" bestFit="1" customWidth="1"/>
    <col min="5" max="5" width="11.69921875" bestFit="1" customWidth="1"/>
    <col min="6" max="6" width="10" bestFit="1" customWidth="1"/>
    <col min="7" max="7" width="15.796875" bestFit="1" customWidth="1"/>
    <col min="8" max="8" width="9.296875" style="62" bestFit="1" customWidth="1"/>
    <col min="9" max="9" width="13.8984375" customWidth="1"/>
    <col min="10" max="10" width="57.59765625" bestFit="1" customWidth="1"/>
    <col min="11" max="22" width="7.59765625" customWidth="1"/>
  </cols>
  <sheetData>
    <row r="1" spans="1:14" ht="14.25" customHeight="1" x14ac:dyDescent="0.25">
      <c r="A1" s="63" t="s">
        <v>224</v>
      </c>
      <c r="B1" s="63" t="s">
        <v>79</v>
      </c>
      <c r="C1" s="63" t="s">
        <v>240</v>
      </c>
      <c r="D1" s="63" t="s">
        <v>1721</v>
      </c>
      <c r="E1" s="63" t="s">
        <v>232</v>
      </c>
      <c r="F1" s="63" t="s">
        <v>241</v>
      </c>
      <c r="G1" s="63" t="s">
        <v>242</v>
      </c>
      <c r="H1" s="64" t="s">
        <v>1722</v>
      </c>
    </row>
    <row r="2" spans="1:14" ht="14.25" customHeight="1" x14ac:dyDescent="0.3">
      <c r="A2" s="65" t="s">
        <v>243</v>
      </c>
      <c r="B2" s="65" t="s">
        <v>244</v>
      </c>
      <c r="C2" s="65" t="s">
        <v>245</v>
      </c>
      <c r="D2" s="66">
        <v>35970</v>
      </c>
      <c r="E2" s="65" t="s">
        <v>1723</v>
      </c>
      <c r="F2" s="65" t="s">
        <v>246</v>
      </c>
      <c r="G2" s="65" t="s">
        <v>247</v>
      </c>
      <c r="H2" s="67">
        <v>80000</v>
      </c>
    </row>
    <row r="3" spans="1:14" ht="14.25" customHeight="1" x14ac:dyDescent="0.3">
      <c r="A3" s="65" t="s">
        <v>249</v>
      </c>
      <c r="B3" s="65" t="s">
        <v>250</v>
      </c>
      <c r="C3" s="65" t="s">
        <v>251</v>
      </c>
      <c r="D3" s="66">
        <v>35983</v>
      </c>
      <c r="E3" s="65" t="s">
        <v>234</v>
      </c>
      <c r="F3" s="65" t="s">
        <v>236</v>
      </c>
      <c r="G3" s="65" t="s">
        <v>252</v>
      </c>
      <c r="H3" s="67">
        <v>53000</v>
      </c>
    </row>
    <row r="4" spans="1:14" ht="14.25" customHeight="1" x14ac:dyDescent="0.3">
      <c r="A4" s="65" t="s">
        <v>254</v>
      </c>
      <c r="B4" s="65" t="s">
        <v>255</v>
      </c>
      <c r="C4" s="65" t="s">
        <v>256</v>
      </c>
      <c r="D4" s="66">
        <v>35996</v>
      </c>
      <c r="E4" s="65" t="s">
        <v>1724</v>
      </c>
      <c r="F4" s="65" t="s">
        <v>237</v>
      </c>
      <c r="G4" s="65" t="s">
        <v>257</v>
      </c>
      <c r="H4" s="67">
        <v>52200</v>
      </c>
    </row>
    <row r="5" spans="1:14" ht="14.25" customHeight="1" x14ac:dyDescent="0.3">
      <c r="A5" s="65" t="s">
        <v>259</v>
      </c>
      <c r="B5" s="65" t="s">
        <v>260</v>
      </c>
      <c r="C5" s="65" t="s">
        <v>261</v>
      </c>
      <c r="D5" s="66">
        <v>36009</v>
      </c>
      <c r="E5" s="65" t="s">
        <v>1723</v>
      </c>
      <c r="F5" s="65" t="s">
        <v>246</v>
      </c>
      <c r="G5" s="65" t="s">
        <v>252</v>
      </c>
      <c r="H5" s="67">
        <v>51400</v>
      </c>
    </row>
    <row r="6" spans="1:14" ht="14.25" customHeight="1" x14ac:dyDescent="0.3">
      <c r="A6" s="65" t="s">
        <v>263</v>
      </c>
      <c r="B6" s="65" t="s">
        <v>264</v>
      </c>
      <c r="C6" s="65" t="s">
        <v>265</v>
      </c>
      <c r="D6" s="66">
        <v>36022</v>
      </c>
      <c r="E6" s="65" t="s">
        <v>1723</v>
      </c>
      <c r="F6" s="65" t="s">
        <v>246</v>
      </c>
      <c r="G6" s="65" t="s">
        <v>257</v>
      </c>
      <c r="H6" s="67">
        <v>50600</v>
      </c>
    </row>
    <row r="7" spans="1:14" ht="14.25" customHeight="1" x14ac:dyDescent="0.3">
      <c r="A7" s="65" t="s">
        <v>267</v>
      </c>
      <c r="B7" s="65" t="s">
        <v>268</v>
      </c>
      <c r="C7" s="65" t="s">
        <v>269</v>
      </c>
      <c r="D7" s="66">
        <v>36035</v>
      </c>
      <c r="E7" s="65" t="s">
        <v>1725</v>
      </c>
      <c r="F7" s="65" t="s">
        <v>270</v>
      </c>
      <c r="G7" s="65" t="s">
        <v>271</v>
      </c>
      <c r="H7" s="67">
        <v>49800</v>
      </c>
      <c r="J7" s="78" t="s">
        <v>1742</v>
      </c>
    </row>
    <row r="8" spans="1:14" ht="14.25" customHeight="1" x14ac:dyDescent="0.3">
      <c r="A8" s="65" t="s">
        <v>273</v>
      </c>
      <c r="B8" s="65" t="s">
        <v>274</v>
      </c>
      <c r="C8" s="65" t="s">
        <v>275</v>
      </c>
      <c r="D8" s="66">
        <v>36048</v>
      </c>
      <c r="E8" s="65" t="s">
        <v>237</v>
      </c>
      <c r="F8" s="65" t="s">
        <v>237</v>
      </c>
      <c r="G8" s="65" t="s">
        <v>257</v>
      </c>
      <c r="H8" s="67">
        <v>49000</v>
      </c>
      <c r="J8" s="71" t="s">
        <v>1740</v>
      </c>
    </row>
    <row r="9" spans="1:14" ht="14.25" customHeight="1" x14ac:dyDescent="0.3">
      <c r="A9" s="65" t="s">
        <v>277</v>
      </c>
      <c r="B9" s="65" t="s">
        <v>278</v>
      </c>
      <c r="C9" s="65" t="s">
        <v>279</v>
      </c>
      <c r="D9" s="66">
        <v>36061</v>
      </c>
      <c r="E9" s="65" t="s">
        <v>1723</v>
      </c>
      <c r="F9" s="65" t="s">
        <v>246</v>
      </c>
      <c r="G9" s="65" t="s">
        <v>257</v>
      </c>
      <c r="H9" s="67">
        <v>48200</v>
      </c>
      <c r="J9" s="71" t="s">
        <v>1741</v>
      </c>
    </row>
    <row r="10" spans="1:14" ht="14.25" customHeight="1" x14ac:dyDescent="0.3">
      <c r="A10" s="65" t="s">
        <v>281</v>
      </c>
      <c r="B10" s="65" t="s">
        <v>282</v>
      </c>
      <c r="C10" s="65" t="s">
        <v>283</v>
      </c>
      <c r="D10" s="66">
        <v>36074</v>
      </c>
      <c r="E10" s="65" t="s">
        <v>1726</v>
      </c>
      <c r="F10" s="65" t="s">
        <v>284</v>
      </c>
      <c r="G10" s="65" t="s">
        <v>285</v>
      </c>
      <c r="H10" s="67">
        <v>47400</v>
      </c>
      <c r="J10" s="71" t="s">
        <v>1745</v>
      </c>
    </row>
    <row r="11" spans="1:14" ht="14.25" customHeight="1" x14ac:dyDescent="0.3">
      <c r="A11" s="65" t="s">
        <v>286</v>
      </c>
      <c r="B11" s="65" t="s">
        <v>287</v>
      </c>
      <c r="C11" s="65" t="s">
        <v>288</v>
      </c>
      <c r="D11" s="66">
        <v>36087</v>
      </c>
      <c r="E11" s="65" t="s">
        <v>1723</v>
      </c>
      <c r="F11" s="65" t="s">
        <v>246</v>
      </c>
      <c r="G11" s="65" t="s">
        <v>257</v>
      </c>
      <c r="H11" s="67">
        <v>46600</v>
      </c>
    </row>
    <row r="12" spans="1:14" ht="14.25" customHeight="1" x14ac:dyDescent="0.3">
      <c r="A12" s="65" t="s">
        <v>248</v>
      </c>
      <c r="B12" s="65" t="s">
        <v>290</v>
      </c>
      <c r="C12" s="65" t="s">
        <v>291</v>
      </c>
      <c r="D12" s="66">
        <v>36100</v>
      </c>
      <c r="E12" s="65" t="s">
        <v>1723</v>
      </c>
      <c r="F12" s="65" t="s">
        <v>246</v>
      </c>
      <c r="G12" s="65" t="s">
        <v>292</v>
      </c>
      <c r="H12" s="67">
        <v>45800</v>
      </c>
    </row>
    <row r="13" spans="1:14" ht="14.25" customHeight="1" x14ac:dyDescent="0.3">
      <c r="A13" s="65" t="s">
        <v>293</v>
      </c>
      <c r="B13" s="65" t="s">
        <v>294</v>
      </c>
      <c r="C13" s="65" t="s">
        <v>295</v>
      </c>
      <c r="D13" s="66">
        <v>36113</v>
      </c>
      <c r="E13" s="65" t="s">
        <v>1727</v>
      </c>
      <c r="F13" s="65" t="s">
        <v>246</v>
      </c>
      <c r="G13" s="65" t="s">
        <v>296</v>
      </c>
      <c r="H13" s="67">
        <v>45000</v>
      </c>
      <c r="J13" s="72" t="s">
        <v>1758</v>
      </c>
      <c r="K13" s="73"/>
      <c r="L13" s="73"/>
      <c r="M13" s="73"/>
      <c r="N13" s="73"/>
    </row>
    <row r="14" spans="1:14" ht="14.25" customHeight="1" x14ac:dyDescent="0.3">
      <c r="A14" s="65" t="s">
        <v>297</v>
      </c>
      <c r="B14" s="65" t="s">
        <v>298</v>
      </c>
      <c r="C14" s="65" t="s">
        <v>299</v>
      </c>
      <c r="D14" s="66">
        <v>36126</v>
      </c>
      <c r="E14" s="65" t="s">
        <v>1723</v>
      </c>
      <c r="F14" s="65" t="s">
        <v>246</v>
      </c>
      <c r="G14" s="65" t="s">
        <v>300</v>
      </c>
      <c r="H14" s="67">
        <v>44200</v>
      </c>
    </row>
    <row r="15" spans="1:14" ht="14.25" customHeight="1" x14ac:dyDescent="0.3">
      <c r="A15" s="65" t="s">
        <v>301</v>
      </c>
      <c r="B15" s="65" t="s">
        <v>302</v>
      </c>
      <c r="C15" s="65" t="s">
        <v>303</v>
      </c>
      <c r="D15" s="66">
        <v>36139</v>
      </c>
      <c r="E15" s="65" t="s">
        <v>1723</v>
      </c>
      <c r="F15" s="65" t="s">
        <v>246</v>
      </c>
      <c r="G15" s="65" t="s">
        <v>271</v>
      </c>
      <c r="H15" s="67">
        <v>43400</v>
      </c>
    </row>
    <row r="16" spans="1:14" ht="14.25" customHeight="1" x14ac:dyDescent="0.3">
      <c r="A16" s="65" t="s">
        <v>253</v>
      </c>
      <c r="B16" s="65" t="s">
        <v>304</v>
      </c>
      <c r="C16" s="65" t="s">
        <v>305</v>
      </c>
      <c r="D16" s="66">
        <v>36152</v>
      </c>
      <c r="E16" s="65" t="s">
        <v>1728</v>
      </c>
      <c r="F16" s="65" t="s">
        <v>306</v>
      </c>
      <c r="G16" s="65" t="s">
        <v>300</v>
      </c>
      <c r="H16" s="67">
        <v>42600</v>
      </c>
    </row>
    <row r="17" spans="1:8" ht="14.25" customHeight="1" x14ac:dyDescent="0.3">
      <c r="A17" s="65" t="s">
        <v>307</v>
      </c>
      <c r="B17" s="65" t="s">
        <v>308</v>
      </c>
      <c r="C17" s="65" t="s">
        <v>309</v>
      </c>
      <c r="D17" s="66">
        <v>36165</v>
      </c>
      <c r="E17" s="65" t="s">
        <v>1728</v>
      </c>
      <c r="F17" s="65" t="s">
        <v>306</v>
      </c>
      <c r="G17" s="65" t="s">
        <v>271</v>
      </c>
      <c r="H17" s="67">
        <v>41800</v>
      </c>
    </row>
    <row r="18" spans="1:8" ht="14.25" customHeight="1" x14ac:dyDescent="0.3">
      <c r="A18" s="65" t="s">
        <v>310</v>
      </c>
      <c r="B18" s="65" t="s">
        <v>311</v>
      </c>
      <c r="C18" s="65" t="s">
        <v>312</v>
      </c>
      <c r="D18" s="66">
        <v>36178</v>
      </c>
      <c r="E18" s="65" t="s">
        <v>1728</v>
      </c>
      <c r="F18" s="65" t="s">
        <v>306</v>
      </c>
      <c r="G18" s="65" t="s">
        <v>313</v>
      </c>
      <c r="H18" s="67">
        <v>41000</v>
      </c>
    </row>
    <row r="19" spans="1:8" ht="14.25" customHeight="1" x14ac:dyDescent="0.3">
      <c r="A19" s="65" t="s">
        <v>314</v>
      </c>
      <c r="B19" s="65" t="s">
        <v>315</v>
      </c>
      <c r="C19" s="65" t="s">
        <v>316</v>
      </c>
      <c r="D19" s="66">
        <v>36191</v>
      </c>
      <c r="E19" s="65" t="s">
        <v>1728</v>
      </c>
      <c r="F19" s="65" t="s">
        <v>306</v>
      </c>
      <c r="G19" s="65" t="s">
        <v>317</v>
      </c>
      <c r="H19" s="67">
        <v>40200</v>
      </c>
    </row>
    <row r="20" spans="1:8" ht="14.25" customHeight="1" x14ac:dyDescent="0.3">
      <c r="A20" s="65" t="s">
        <v>318</v>
      </c>
      <c r="B20" s="65" t="s">
        <v>287</v>
      </c>
      <c r="C20" s="65" t="s">
        <v>319</v>
      </c>
      <c r="D20" s="66">
        <v>36204</v>
      </c>
      <c r="E20" s="65" t="s">
        <v>320</v>
      </c>
      <c r="F20" s="65" t="s">
        <v>320</v>
      </c>
      <c r="G20" s="65" t="s">
        <v>257</v>
      </c>
      <c r="H20" s="67">
        <v>39400</v>
      </c>
    </row>
    <row r="21" spans="1:8" ht="14.25" customHeight="1" x14ac:dyDescent="0.3">
      <c r="A21" s="65" t="s">
        <v>321</v>
      </c>
      <c r="B21" s="65" t="s">
        <v>322</v>
      </c>
      <c r="C21" s="65" t="s">
        <v>323</v>
      </c>
      <c r="D21" s="66">
        <v>36217</v>
      </c>
      <c r="E21" s="65" t="s">
        <v>1728</v>
      </c>
      <c r="F21" s="65" t="s">
        <v>306</v>
      </c>
      <c r="G21" s="65" t="s">
        <v>296</v>
      </c>
      <c r="H21" s="67">
        <v>38600</v>
      </c>
    </row>
    <row r="22" spans="1:8" ht="14.25" customHeight="1" x14ac:dyDescent="0.3">
      <c r="A22" s="65" t="s">
        <v>324</v>
      </c>
      <c r="B22" s="65" t="s">
        <v>325</v>
      </c>
      <c r="C22" s="65" t="s">
        <v>326</v>
      </c>
      <c r="D22" s="66">
        <v>36230</v>
      </c>
      <c r="E22" s="65" t="s">
        <v>1728</v>
      </c>
      <c r="F22" s="65" t="s">
        <v>306</v>
      </c>
      <c r="G22" s="65" t="s">
        <v>300</v>
      </c>
      <c r="H22" s="67">
        <v>37800</v>
      </c>
    </row>
    <row r="23" spans="1:8" ht="14.25" customHeight="1" x14ac:dyDescent="0.3">
      <c r="A23" s="65" t="s">
        <v>327</v>
      </c>
      <c r="B23" s="65" t="s">
        <v>227</v>
      </c>
      <c r="C23" s="65" t="s">
        <v>328</v>
      </c>
      <c r="D23" s="66">
        <v>36243</v>
      </c>
      <c r="E23" s="65" t="s">
        <v>1728</v>
      </c>
      <c r="F23" s="65" t="s">
        <v>306</v>
      </c>
      <c r="G23" s="65" t="s">
        <v>252</v>
      </c>
      <c r="H23" s="67">
        <v>37000</v>
      </c>
    </row>
    <row r="24" spans="1:8" ht="14.25" customHeight="1" x14ac:dyDescent="0.3">
      <c r="A24" s="65" t="s">
        <v>329</v>
      </c>
      <c r="B24" s="65" t="s">
        <v>330</v>
      </c>
      <c r="C24" s="65" t="s">
        <v>331</v>
      </c>
      <c r="D24" s="66">
        <v>36256</v>
      </c>
      <c r="E24" s="65" t="s">
        <v>1728</v>
      </c>
      <c r="F24" s="65" t="s">
        <v>306</v>
      </c>
      <c r="G24" s="65" t="s">
        <v>332</v>
      </c>
      <c r="H24" s="67">
        <v>36200</v>
      </c>
    </row>
    <row r="25" spans="1:8" ht="14.25" customHeight="1" x14ac:dyDescent="0.3">
      <c r="A25" s="65" t="s">
        <v>333</v>
      </c>
      <c r="B25" s="65" t="s">
        <v>334</v>
      </c>
      <c r="C25" s="65" t="s">
        <v>335</v>
      </c>
      <c r="D25" s="66">
        <v>36269</v>
      </c>
      <c r="E25" s="65" t="s">
        <v>1728</v>
      </c>
      <c r="F25" s="65" t="s">
        <v>306</v>
      </c>
      <c r="G25" s="65" t="s">
        <v>252</v>
      </c>
      <c r="H25" s="67">
        <v>35400</v>
      </c>
    </row>
    <row r="26" spans="1:8" ht="14.25" customHeight="1" x14ac:dyDescent="0.3">
      <c r="A26" s="65" t="s">
        <v>336</v>
      </c>
      <c r="B26" s="65" t="s">
        <v>337</v>
      </c>
      <c r="C26" s="65" t="s">
        <v>338</v>
      </c>
      <c r="D26" s="66">
        <v>36282</v>
      </c>
      <c r="E26" s="65" t="s">
        <v>1728</v>
      </c>
      <c r="F26" s="65" t="s">
        <v>306</v>
      </c>
      <c r="G26" s="65" t="s">
        <v>339</v>
      </c>
      <c r="H26" s="67">
        <v>34600</v>
      </c>
    </row>
    <row r="27" spans="1:8" ht="14.25" customHeight="1" x14ac:dyDescent="0.3">
      <c r="A27" s="65" t="s">
        <v>340</v>
      </c>
      <c r="B27" s="65" t="s">
        <v>341</v>
      </c>
      <c r="C27" s="65" t="s">
        <v>342</v>
      </c>
      <c r="D27" s="66">
        <v>36295</v>
      </c>
      <c r="E27" s="65" t="s">
        <v>1723</v>
      </c>
      <c r="F27" s="65" t="s">
        <v>246</v>
      </c>
      <c r="G27" s="65" t="s">
        <v>343</v>
      </c>
      <c r="H27" s="67">
        <v>33800</v>
      </c>
    </row>
    <row r="28" spans="1:8" ht="14.25" customHeight="1" x14ac:dyDescent="0.3">
      <c r="A28" s="65" t="s">
        <v>344</v>
      </c>
      <c r="B28" s="65" t="s">
        <v>287</v>
      </c>
      <c r="C28" s="65" t="s">
        <v>275</v>
      </c>
      <c r="D28" s="66">
        <v>36308</v>
      </c>
      <c r="E28" s="65" t="s">
        <v>1723</v>
      </c>
      <c r="F28" s="65" t="s">
        <v>246</v>
      </c>
      <c r="G28" s="65" t="s">
        <v>257</v>
      </c>
      <c r="H28" s="67">
        <v>33000</v>
      </c>
    </row>
    <row r="29" spans="1:8" ht="14.25" customHeight="1" x14ac:dyDescent="0.3">
      <c r="A29" s="65" t="s">
        <v>345</v>
      </c>
      <c r="B29" s="65" t="s">
        <v>346</v>
      </c>
      <c r="C29" s="65" t="s">
        <v>347</v>
      </c>
      <c r="D29" s="66">
        <v>36321</v>
      </c>
      <c r="E29" s="65" t="s">
        <v>1723</v>
      </c>
      <c r="F29" s="65" t="s">
        <v>246</v>
      </c>
      <c r="G29" s="65" t="s">
        <v>300</v>
      </c>
      <c r="H29" s="67">
        <v>32200</v>
      </c>
    </row>
    <row r="30" spans="1:8" ht="14.25" customHeight="1" x14ac:dyDescent="0.3">
      <c r="A30" s="65" t="s">
        <v>258</v>
      </c>
      <c r="B30" s="65" t="s">
        <v>348</v>
      </c>
      <c r="C30" s="65" t="s">
        <v>349</v>
      </c>
      <c r="D30" s="66">
        <v>36334</v>
      </c>
      <c r="E30" s="65" t="s">
        <v>1728</v>
      </c>
      <c r="F30" s="65" t="s">
        <v>306</v>
      </c>
      <c r="G30" s="65" t="s">
        <v>332</v>
      </c>
      <c r="H30" s="67">
        <v>31400</v>
      </c>
    </row>
    <row r="31" spans="1:8" ht="14.25" customHeight="1" x14ac:dyDescent="0.3">
      <c r="A31" s="65" t="s">
        <v>262</v>
      </c>
      <c r="B31" s="65" t="s">
        <v>350</v>
      </c>
      <c r="C31" s="65" t="s">
        <v>351</v>
      </c>
      <c r="D31" s="66">
        <v>36347</v>
      </c>
      <c r="E31" s="65" t="s">
        <v>1727</v>
      </c>
      <c r="F31" s="65" t="s">
        <v>246</v>
      </c>
      <c r="G31" s="65" t="s">
        <v>332</v>
      </c>
      <c r="H31" s="67">
        <v>30600</v>
      </c>
    </row>
    <row r="32" spans="1:8" ht="14.25" customHeight="1" x14ac:dyDescent="0.3">
      <c r="A32" s="65" t="s">
        <v>352</v>
      </c>
      <c r="B32" s="65" t="s">
        <v>353</v>
      </c>
      <c r="C32" s="65" t="s">
        <v>354</v>
      </c>
      <c r="D32" s="66">
        <v>36360</v>
      </c>
      <c r="E32" s="65" t="s">
        <v>1728</v>
      </c>
      <c r="F32" s="65" t="s">
        <v>306</v>
      </c>
      <c r="G32" s="65" t="s">
        <v>271</v>
      </c>
      <c r="H32" s="67">
        <v>29800</v>
      </c>
    </row>
    <row r="33" spans="1:8" ht="14.25" customHeight="1" x14ac:dyDescent="0.3">
      <c r="A33" s="65" t="s">
        <v>355</v>
      </c>
      <c r="B33" s="65" t="s">
        <v>356</v>
      </c>
      <c r="C33" s="65" t="s">
        <v>357</v>
      </c>
      <c r="D33" s="66">
        <v>36373</v>
      </c>
      <c r="E33" s="65" t="s">
        <v>1728</v>
      </c>
      <c r="F33" s="65" t="s">
        <v>306</v>
      </c>
      <c r="G33" s="65" t="s">
        <v>257</v>
      </c>
      <c r="H33" s="67">
        <v>29000</v>
      </c>
    </row>
    <row r="34" spans="1:8" ht="14.25" customHeight="1" x14ac:dyDescent="0.3">
      <c r="A34" s="65" t="s">
        <v>358</v>
      </c>
      <c r="B34" s="65" t="s">
        <v>359</v>
      </c>
      <c r="C34" s="65" t="s">
        <v>360</v>
      </c>
      <c r="D34" s="66">
        <v>36386</v>
      </c>
      <c r="E34" s="65" t="s">
        <v>1728</v>
      </c>
      <c r="F34" s="65" t="s">
        <v>306</v>
      </c>
      <c r="G34" s="65" t="s">
        <v>296</v>
      </c>
      <c r="H34" s="67">
        <v>28200</v>
      </c>
    </row>
    <row r="35" spans="1:8" ht="14.25" customHeight="1" x14ac:dyDescent="0.3">
      <c r="A35" s="65" t="s">
        <v>361</v>
      </c>
      <c r="B35" s="65" t="s">
        <v>362</v>
      </c>
      <c r="C35" s="65" t="s">
        <v>363</v>
      </c>
      <c r="D35" s="66">
        <v>36399</v>
      </c>
      <c r="E35" s="65" t="s">
        <v>1728</v>
      </c>
      <c r="F35" s="65" t="s">
        <v>306</v>
      </c>
      <c r="G35" s="65" t="s">
        <v>296</v>
      </c>
      <c r="H35" s="67">
        <v>27400</v>
      </c>
    </row>
    <row r="36" spans="1:8" ht="14.25" customHeight="1" x14ac:dyDescent="0.3">
      <c r="A36" s="65" t="s">
        <v>364</v>
      </c>
      <c r="B36" s="65" t="s">
        <v>365</v>
      </c>
      <c r="C36" s="65" t="s">
        <v>275</v>
      </c>
      <c r="D36" s="66">
        <v>36412</v>
      </c>
      <c r="E36" s="65" t="s">
        <v>1727</v>
      </c>
      <c r="F36" s="65" t="s">
        <v>246</v>
      </c>
      <c r="G36" s="65" t="s">
        <v>257</v>
      </c>
      <c r="H36" s="67">
        <v>26600</v>
      </c>
    </row>
    <row r="37" spans="1:8" ht="14.25" customHeight="1" x14ac:dyDescent="0.3">
      <c r="A37" s="65" t="s">
        <v>266</v>
      </c>
      <c r="B37" s="65" t="s">
        <v>287</v>
      </c>
      <c r="C37" s="65" t="s">
        <v>366</v>
      </c>
      <c r="D37" s="66">
        <v>36425</v>
      </c>
      <c r="E37" s="65" t="s">
        <v>1727</v>
      </c>
      <c r="F37" s="65" t="s">
        <v>246</v>
      </c>
      <c r="G37" s="65" t="s">
        <v>367</v>
      </c>
      <c r="H37" s="67">
        <v>25800</v>
      </c>
    </row>
    <row r="38" spans="1:8" ht="14.25" customHeight="1" x14ac:dyDescent="0.3">
      <c r="A38" s="65" t="s">
        <v>272</v>
      </c>
      <c r="B38" s="65" t="s">
        <v>368</v>
      </c>
      <c r="C38" s="65" t="s">
        <v>363</v>
      </c>
      <c r="D38" s="66">
        <v>36438</v>
      </c>
      <c r="E38" s="65" t="s">
        <v>320</v>
      </c>
      <c r="F38" s="65" t="s">
        <v>320</v>
      </c>
      <c r="G38" s="65" t="s">
        <v>296</v>
      </c>
      <c r="H38" s="67">
        <v>25000</v>
      </c>
    </row>
    <row r="39" spans="1:8" ht="14.25" customHeight="1" x14ac:dyDescent="0.3">
      <c r="A39" s="65" t="s">
        <v>369</v>
      </c>
      <c r="B39" s="65" t="s">
        <v>370</v>
      </c>
      <c r="C39" s="65" t="s">
        <v>371</v>
      </c>
      <c r="D39" s="66">
        <v>36451</v>
      </c>
      <c r="E39" s="65" t="s">
        <v>1727</v>
      </c>
      <c r="F39" s="65" t="s">
        <v>246</v>
      </c>
      <c r="G39" s="65" t="s">
        <v>300</v>
      </c>
      <c r="H39" s="67">
        <v>24200</v>
      </c>
    </row>
    <row r="40" spans="1:8" ht="14.25" customHeight="1" x14ac:dyDescent="0.3">
      <c r="A40" s="65" t="s">
        <v>372</v>
      </c>
      <c r="B40" s="65" t="s">
        <v>373</v>
      </c>
      <c r="C40" s="65" t="s">
        <v>275</v>
      </c>
      <c r="D40" s="66">
        <v>36464</v>
      </c>
      <c r="E40" s="65" t="s">
        <v>1728</v>
      </c>
      <c r="F40" s="65" t="s">
        <v>306</v>
      </c>
      <c r="G40" s="65" t="s">
        <v>257</v>
      </c>
      <c r="H40" s="67">
        <v>23400</v>
      </c>
    </row>
    <row r="41" spans="1:8" ht="14.25" customHeight="1" x14ac:dyDescent="0.3">
      <c r="A41" s="65" t="s">
        <v>374</v>
      </c>
      <c r="B41" s="65" t="s">
        <v>375</v>
      </c>
      <c r="C41" s="65" t="s">
        <v>376</v>
      </c>
      <c r="D41" s="66">
        <v>36477</v>
      </c>
      <c r="E41" s="65" t="s">
        <v>1729</v>
      </c>
      <c r="F41" s="65" t="s">
        <v>377</v>
      </c>
      <c r="G41" s="65" t="s">
        <v>378</v>
      </c>
      <c r="H41" s="67">
        <v>22600</v>
      </c>
    </row>
    <row r="42" spans="1:8" ht="14.25" customHeight="1" x14ac:dyDescent="0.3">
      <c r="A42" s="65" t="s">
        <v>379</v>
      </c>
      <c r="B42" s="65" t="s">
        <v>380</v>
      </c>
      <c r="C42" s="65" t="s">
        <v>357</v>
      </c>
      <c r="D42" s="66">
        <v>36490</v>
      </c>
      <c r="E42" s="65" t="s">
        <v>1728</v>
      </c>
      <c r="F42" s="65" t="s">
        <v>306</v>
      </c>
      <c r="G42" s="65" t="s">
        <v>257</v>
      </c>
      <c r="H42" s="67">
        <v>21800</v>
      </c>
    </row>
    <row r="43" spans="1:8" ht="14.25" customHeight="1" x14ac:dyDescent="0.3">
      <c r="A43" s="65" t="s">
        <v>381</v>
      </c>
      <c r="B43" s="65" t="s">
        <v>382</v>
      </c>
      <c r="C43" s="65" t="s">
        <v>383</v>
      </c>
      <c r="D43" s="66">
        <v>36503</v>
      </c>
      <c r="E43" s="65" t="s">
        <v>1728</v>
      </c>
      <c r="F43" s="65" t="s">
        <v>306</v>
      </c>
      <c r="G43" s="65" t="s">
        <v>252</v>
      </c>
      <c r="H43" s="67">
        <v>21000</v>
      </c>
    </row>
    <row r="44" spans="1:8" ht="14.25" customHeight="1" x14ac:dyDescent="0.3">
      <c r="A44" s="65" t="s">
        <v>384</v>
      </c>
      <c r="B44" s="65" t="s">
        <v>287</v>
      </c>
      <c r="C44" s="65" t="s">
        <v>385</v>
      </c>
      <c r="D44" s="66">
        <v>36516</v>
      </c>
      <c r="E44" s="65" t="s">
        <v>1730</v>
      </c>
      <c r="F44" s="65" t="s">
        <v>237</v>
      </c>
      <c r="G44" s="65" t="s">
        <v>257</v>
      </c>
      <c r="H44" s="67">
        <v>20200</v>
      </c>
    </row>
    <row r="45" spans="1:8" ht="14.25" customHeight="1" x14ac:dyDescent="0.3">
      <c r="A45" s="65" t="s">
        <v>386</v>
      </c>
      <c r="B45" s="65" t="s">
        <v>387</v>
      </c>
      <c r="C45" s="65" t="s">
        <v>388</v>
      </c>
      <c r="D45" s="66">
        <v>36529</v>
      </c>
      <c r="E45" s="65" t="s">
        <v>1723</v>
      </c>
      <c r="F45" s="65" t="s">
        <v>246</v>
      </c>
      <c r="G45" s="65" t="s">
        <v>257</v>
      </c>
      <c r="H45" s="67">
        <v>19400</v>
      </c>
    </row>
    <row r="46" spans="1:8" ht="14.25" customHeight="1" x14ac:dyDescent="0.3">
      <c r="A46" s="65" t="s">
        <v>389</v>
      </c>
      <c r="B46" s="65" t="s">
        <v>390</v>
      </c>
      <c r="C46" s="65" t="s">
        <v>391</v>
      </c>
      <c r="D46" s="66">
        <v>36542</v>
      </c>
      <c r="E46" s="65" t="s">
        <v>1723</v>
      </c>
      <c r="F46" s="65" t="s">
        <v>246</v>
      </c>
      <c r="G46" s="65" t="s">
        <v>257</v>
      </c>
      <c r="H46" s="67">
        <v>18600</v>
      </c>
    </row>
    <row r="47" spans="1:8" ht="14.25" customHeight="1" x14ac:dyDescent="0.3">
      <c r="A47" s="65" t="s">
        <v>392</v>
      </c>
      <c r="B47" s="65" t="s">
        <v>393</v>
      </c>
      <c r="C47" s="65" t="s">
        <v>295</v>
      </c>
      <c r="D47" s="66">
        <v>36555</v>
      </c>
      <c r="E47" s="65" t="s">
        <v>1727</v>
      </c>
      <c r="F47" s="65" t="s">
        <v>246</v>
      </c>
      <c r="G47" s="65" t="s">
        <v>296</v>
      </c>
      <c r="H47" s="67">
        <v>17800</v>
      </c>
    </row>
    <row r="48" spans="1:8" ht="14.25" customHeight="1" x14ac:dyDescent="0.3">
      <c r="A48" s="65" t="s">
        <v>394</v>
      </c>
      <c r="B48" s="65" t="s">
        <v>395</v>
      </c>
      <c r="C48" s="65" t="s">
        <v>396</v>
      </c>
      <c r="D48" s="66">
        <v>36568</v>
      </c>
      <c r="E48" s="65" t="s">
        <v>1723</v>
      </c>
      <c r="F48" s="65" t="s">
        <v>246</v>
      </c>
      <c r="G48" s="65" t="s">
        <v>252</v>
      </c>
      <c r="H48" s="67">
        <v>17000</v>
      </c>
    </row>
    <row r="49" spans="1:8" ht="14.25" customHeight="1" x14ac:dyDescent="0.3">
      <c r="A49" s="65" t="s">
        <v>397</v>
      </c>
      <c r="B49" s="65" t="s">
        <v>398</v>
      </c>
      <c r="C49" s="65" t="s">
        <v>335</v>
      </c>
      <c r="D49" s="66">
        <v>36581</v>
      </c>
      <c r="E49" s="65" t="s">
        <v>1723</v>
      </c>
      <c r="F49" s="65" t="s">
        <v>246</v>
      </c>
      <c r="G49" s="65" t="s">
        <v>252</v>
      </c>
      <c r="H49" s="67">
        <v>16200</v>
      </c>
    </row>
    <row r="50" spans="1:8" ht="14.25" customHeight="1" x14ac:dyDescent="0.3">
      <c r="A50" s="65" t="s">
        <v>399</v>
      </c>
      <c r="B50" s="65" t="s">
        <v>400</v>
      </c>
      <c r="C50" s="65" t="s">
        <v>401</v>
      </c>
      <c r="D50" s="66">
        <v>36594</v>
      </c>
      <c r="E50" s="65" t="s">
        <v>1723</v>
      </c>
      <c r="F50" s="65" t="s">
        <v>246</v>
      </c>
      <c r="G50" s="65" t="s">
        <v>332</v>
      </c>
      <c r="H50" s="67">
        <v>15400</v>
      </c>
    </row>
    <row r="51" spans="1:8" ht="14.25" customHeight="1" x14ac:dyDescent="0.3">
      <c r="A51" s="65" t="s">
        <v>402</v>
      </c>
      <c r="B51" s="65" t="s">
        <v>403</v>
      </c>
      <c r="C51" s="65" t="s">
        <v>404</v>
      </c>
      <c r="D51" s="66">
        <v>36607</v>
      </c>
      <c r="E51" s="65" t="s">
        <v>1728</v>
      </c>
      <c r="F51" s="65" t="s">
        <v>306</v>
      </c>
      <c r="G51" s="65" t="s">
        <v>252</v>
      </c>
      <c r="H51" s="67">
        <v>14600</v>
      </c>
    </row>
    <row r="52" spans="1:8" ht="14.25" customHeight="1" x14ac:dyDescent="0.3">
      <c r="A52" s="65" t="s">
        <v>405</v>
      </c>
      <c r="B52" s="65" t="s">
        <v>406</v>
      </c>
      <c r="C52" s="65" t="s">
        <v>407</v>
      </c>
      <c r="D52" s="66">
        <v>36620</v>
      </c>
      <c r="E52" s="65" t="s">
        <v>1728</v>
      </c>
      <c r="F52" s="65" t="s">
        <v>306</v>
      </c>
      <c r="G52" s="65" t="s">
        <v>271</v>
      </c>
      <c r="H52" s="67">
        <v>13800</v>
      </c>
    </row>
    <row r="53" spans="1:8" ht="14.25" customHeight="1" x14ac:dyDescent="0.3">
      <c r="A53" s="65" t="s">
        <v>276</v>
      </c>
      <c r="B53" s="65" t="s">
        <v>408</v>
      </c>
      <c r="C53" s="65" t="s">
        <v>409</v>
      </c>
      <c r="D53" s="66">
        <v>36633</v>
      </c>
      <c r="E53" s="65" t="s">
        <v>1728</v>
      </c>
      <c r="F53" s="65" t="s">
        <v>306</v>
      </c>
      <c r="G53" s="65" t="s">
        <v>252</v>
      </c>
      <c r="H53" s="67">
        <v>13000</v>
      </c>
    </row>
    <row r="54" spans="1:8" ht="14.25" customHeight="1" x14ac:dyDescent="0.3">
      <c r="A54" s="65" t="s">
        <v>410</v>
      </c>
      <c r="B54" s="65" t="s">
        <v>411</v>
      </c>
      <c r="C54" s="65" t="s">
        <v>412</v>
      </c>
      <c r="D54" s="66">
        <v>36646</v>
      </c>
      <c r="E54" s="65" t="s">
        <v>1728</v>
      </c>
      <c r="F54" s="65" t="s">
        <v>306</v>
      </c>
      <c r="G54" s="65" t="s">
        <v>271</v>
      </c>
      <c r="H54" s="67">
        <v>12200</v>
      </c>
    </row>
    <row r="55" spans="1:8" ht="14.25" customHeight="1" x14ac:dyDescent="0.3">
      <c r="A55" s="65" t="s">
        <v>413</v>
      </c>
      <c r="B55" s="65" t="s">
        <v>414</v>
      </c>
      <c r="C55" s="65" t="s">
        <v>415</v>
      </c>
      <c r="D55" s="66">
        <v>36659</v>
      </c>
      <c r="E55" s="65" t="s">
        <v>1727</v>
      </c>
      <c r="F55" s="65" t="s">
        <v>246</v>
      </c>
      <c r="G55" s="65" t="s">
        <v>257</v>
      </c>
      <c r="H55" s="67">
        <v>11400</v>
      </c>
    </row>
    <row r="56" spans="1:8" ht="14.25" customHeight="1" x14ac:dyDescent="0.3">
      <c r="A56" s="65" t="s">
        <v>416</v>
      </c>
      <c r="B56" s="65" t="s">
        <v>417</v>
      </c>
      <c r="C56" s="65" t="s">
        <v>418</v>
      </c>
      <c r="D56" s="66">
        <v>36672</v>
      </c>
      <c r="E56" s="65" t="s">
        <v>1728</v>
      </c>
      <c r="F56" s="65" t="s">
        <v>306</v>
      </c>
      <c r="G56" s="65" t="s">
        <v>300</v>
      </c>
      <c r="H56" s="67">
        <v>10600</v>
      </c>
    </row>
    <row r="57" spans="1:8" ht="14.25" customHeight="1" x14ac:dyDescent="0.3">
      <c r="A57" s="65" t="s">
        <v>419</v>
      </c>
      <c r="B57" s="65" t="s">
        <v>420</v>
      </c>
      <c r="C57" s="65" t="s">
        <v>371</v>
      </c>
      <c r="D57" s="66">
        <v>36685</v>
      </c>
      <c r="E57" s="65" t="s">
        <v>1728</v>
      </c>
      <c r="F57" s="65" t="s">
        <v>306</v>
      </c>
      <c r="G57" s="65" t="s">
        <v>300</v>
      </c>
      <c r="H57" s="67">
        <v>11600</v>
      </c>
    </row>
    <row r="58" spans="1:8" ht="14.25" customHeight="1" x14ac:dyDescent="0.3">
      <c r="A58" s="65" t="s">
        <v>421</v>
      </c>
      <c r="B58" s="65" t="s">
        <v>422</v>
      </c>
      <c r="C58" s="65" t="s">
        <v>385</v>
      </c>
      <c r="D58" s="66">
        <v>36698</v>
      </c>
      <c r="E58" s="65" t="s">
        <v>1727</v>
      </c>
      <c r="F58" s="65" t="s">
        <v>246</v>
      </c>
      <c r="G58" s="65" t="s">
        <v>257</v>
      </c>
      <c r="H58" s="67">
        <v>10800</v>
      </c>
    </row>
    <row r="59" spans="1:8" ht="14.25" customHeight="1" x14ac:dyDescent="0.3">
      <c r="A59" s="65" t="s">
        <v>423</v>
      </c>
      <c r="B59" s="65" t="s">
        <v>74</v>
      </c>
      <c r="C59" s="65" t="s">
        <v>357</v>
      </c>
      <c r="D59" s="66">
        <v>36711</v>
      </c>
      <c r="E59" s="65" t="s">
        <v>1728</v>
      </c>
      <c r="F59" s="65" t="s">
        <v>306</v>
      </c>
      <c r="G59" s="65" t="s">
        <v>257</v>
      </c>
      <c r="H59" s="67">
        <v>11800</v>
      </c>
    </row>
    <row r="60" spans="1:8" ht="14.25" customHeight="1" x14ac:dyDescent="0.3">
      <c r="A60" s="65" t="s">
        <v>280</v>
      </c>
      <c r="B60" s="65" t="s">
        <v>424</v>
      </c>
      <c r="C60" s="65" t="s">
        <v>371</v>
      </c>
      <c r="D60" s="66">
        <v>36724</v>
      </c>
      <c r="E60" s="65" t="s">
        <v>237</v>
      </c>
      <c r="F60" s="65" t="s">
        <v>237</v>
      </c>
      <c r="G60" s="65" t="s">
        <v>300</v>
      </c>
      <c r="H60" s="67">
        <v>11000</v>
      </c>
    </row>
    <row r="61" spans="1:8" ht="14.25" customHeight="1" x14ac:dyDescent="0.3">
      <c r="A61" s="65" t="s">
        <v>425</v>
      </c>
      <c r="B61" s="65" t="s">
        <v>426</v>
      </c>
      <c r="C61" s="65" t="s">
        <v>427</v>
      </c>
      <c r="D61" s="66">
        <v>36737</v>
      </c>
      <c r="E61" s="65" t="s">
        <v>1728</v>
      </c>
      <c r="F61" s="65" t="s">
        <v>306</v>
      </c>
      <c r="G61" s="65" t="s">
        <v>257</v>
      </c>
      <c r="H61" s="67">
        <v>12000</v>
      </c>
    </row>
    <row r="62" spans="1:8" ht="14.25" customHeight="1" x14ac:dyDescent="0.3">
      <c r="A62" s="65" t="s">
        <v>428</v>
      </c>
      <c r="B62" s="65" t="s">
        <v>429</v>
      </c>
      <c r="C62" s="65" t="s">
        <v>430</v>
      </c>
      <c r="D62" s="66">
        <v>36750</v>
      </c>
      <c r="E62" s="65" t="s">
        <v>1723</v>
      </c>
      <c r="F62" s="65" t="s">
        <v>246</v>
      </c>
      <c r="G62" s="65" t="s">
        <v>332</v>
      </c>
      <c r="H62" s="67">
        <v>11200</v>
      </c>
    </row>
    <row r="63" spans="1:8" ht="14.25" customHeight="1" x14ac:dyDescent="0.3">
      <c r="A63" s="65" t="s">
        <v>431</v>
      </c>
      <c r="B63" s="65" t="s">
        <v>432</v>
      </c>
      <c r="C63" s="65" t="s">
        <v>433</v>
      </c>
      <c r="D63" s="66">
        <v>36763</v>
      </c>
      <c r="E63" s="65" t="s">
        <v>1727</v>
      </c>
      <c r="F63" s="65" t="s">
        <v>246</v>
      </c>
      <c r="G63" s="65" t="s">
        <v>317</v>
      </c>
      <c r="H63" s="67">
        <v>12200</v>
      </c>
    </row>
    <row r="64" spans="1:8" ht="14.25" customHeight="1" x14ac:dyDescent="0.3">
      <c r="A64" s="65" t="s">
        <v>434</v>
      </c>
      <c r="B64" s="65" t="s">
        <v>435</v>
      </c>
      <c r="C64" s="65" t="s">
        <v>279</v>
      </c>
      <c r="D64" s="66">
        <v>36776</v>
      </c>
      <c r="E64" s="65" t="s">
        <v>1723</v>
      </c>
      <c r="F64" s="65" t="s">
        <v>246</v>
      </c>
      <c r="G64" s="65" t="s">
        <v>257</v>
      </c>
      <c r="H64" s="67">
        <v>11400</v>
      </c>
    </row>
    <row r="65" spans="1:8" ht="14.25" customHeight="1" x14ac:dyDescent="0.3">
      <c r="A65" s="65" t="s">
        <v>436</v>
      </c>
      <c r="B65" s="65" t="s">
        <v>437</v>
      </c>
      <c r="C65" s="65" t="s">
        <v>438</v>
      </c>
      <c r="D65" s="66">
        <v>36789</v>
      </c>
      <c r="E65" s="65" t="s">
        <v>1723</v>
      </c>
      <c r="F65" s="65" t="s">
        <v>246</v>
      </c>
      <c r="G65" s="65" t="s">
        <v>252</v>
      </c>
      <c r="H65" s="67">
        <v>12400</v>
      </c>
    </row>
    <row r="66" spans="1:8" ht="14.25" customHeight="1" x14ac:dyDescent="0.3">
      <c r="A66" s="65" t="s">
        <v>439</v>
      </c>
      <c r="B66" s="65" t="s">
        <v>440</v>
      </c>
      <c r="C66" s="65" t="s">
        <v>441</v>
      </c>
      <c r="D66" s="66">
        <v>36802</v>
      </c>
      <c r="E66" s="65" t="s">
        <v>1723</v>
      </c>
      <c r="F66" s="65" t="s">
        <v>246</v>
      </c>
      <c r="G66" s="65" t="s">
        <v>257</v>
      </c>
      <c r="H66" s="67">
        <v>11600</v>
      </c>
    </row>
    <row r="67" spans="1:8" ht="14.25" customHeight="1" x14ac:dyDescent="0.3">
      <c r="A67" s="65" t="s">
        <v>442</v>
      </c>
      <c r="B67" s="65" t="s">
        <v>443</v>
      </c>
      <c r="C67" s="65" t="s">
        <v>427</v>
      </c>
      <c r="D67" s="66">
        <v>36815</v>
      </c>
      <c r="E67" s="65" t="s">
        <v>1723</v>
      </c>
      <c r="F67" s="65" t="s">
        <v>246</v>
      </c>
      <c r="G67" s="65" t="s">
        <v>257</v>
      </c>
      <c r="H67" s="67">
        <v>12600</v>
      </c>
    </row>
    <row r="68" spans="1:8" ht="14.25" customHeight="1" x14ac:dyDescent="0.3">
      <c r="A68" s="65" t="s">
        <v>444</v>
      </c>
      <c r="B68" s="65" t="s">
        <v>445</v>
      </c>
      <c r="C68" s="65" t="s">
        <v>312</v>
      </c>
      <c r="D68" s="66">
        <v>36828</v>
      </c>
      <c r="E68" s="65" t="s">
        <v>1723</v>
      </c>
      <c r="F68" s="65" t="s">
        <v>246</v>
      </c>
      <c r="G68" s="65" t="s">
        <v>313</v>
      </c>
      <c r="H68" s="67">
        <v>11800</v>
      </c>
    </row>
    <row r="69" spans="1:8" ht="14.25" customHeight="1" x14ac:dyDescent="0.3">
      <c r="A69" s="65" t="s">
        <v>446</v>
      </c>
      <c r="B69" s="65" t="s">
        <v>447</v>
      </c>
      <c r="C69" s="65" t="s">
        <v>448</v>
      </c>
      <c r="D69" s="66">
        <v>36841</v>
      </c>
      <c r="E69" s="65" t="s">
        <v>1731</v>
      </c>
      <c r="F69" s="65" t="s">
        <v>449</v>
      </c>
      <c r="G69" s="65" t="s">
        <v>252</v>
      </c>
      <c r="H69" s="67">
        <v>12800</v>
      </c>
    </row>
    <row r="70" spans="1:8" ht="14.25" customHeight="1" x14ac:dyDescent="0.3">
      <c r="A70" s="65" t="s">
        <v>450</v>
      </c>
      <c r="B70" s="65" t="s">
        <v>451</v>
      </c>
      <c r="C70" s="65" t="s">
        <v>452</v>
      </c>
      <c r="D70" s="66">
        <v>36854</v>
      </c>
      <c r="E70" s="65" t="s">
        <v>1723</v>
      </c>
      <c r="F70" s="65" t="s">
        <v>246</v>
      </c>
      <c r="G70" s="65" t="s">
        <v>252</v>
      </c>
      <c r="H70" s="67">
        <v>12000</v>
      </c>
    </row>
    <row r="71" spans="1:8" ht="14.25" customHeight="1" x14ac:dyDescent="0.3">
      <c r="A71" s="65" t="s">
        <v>453</v>
      </c>
      <c r="B71" s="65" t="s">
        <v>454</v>
      </c>
      <c r="C71" s="65" t="s">
        <v>455</v>
      </c>
      <c r="D71" s="66">
        <v>36867</v>
      </c>
      <c r="E71" s="65" t="s">
        <v>1723</v>
      </c>
      <c r="F71" s="65" t="s">
        <v>246</v>
      </c>
      <c r="G71" s="65" t="s">
        <v>300</v>
      </c>
      <c r="H71" s="67">
        <v>13000</v>
      </c>
    </row>
    <row r="72" spans="1:8" ht="14.25" customHeight="1" x14ac:dyDescent="0.3">
      <c r="A72" s="65" t="s">
        <v>456</v>
      </c>
      <c r="B72" s="65" t="s">
        <v>457</v>
      </c>
      <c r="C72" s="65" t="s">
        <v>458</v>
      </c>
      <c r="D72" s="66">
        <v>36880</v>
      </c>
      <c r="E72" s="65" t="s">
        <v>1732</v>
      </c>
      <c r="F72" s="65" t="s">
        <v>306</v>
      </c>
      <c r="G72" s="65" t="s">
        <v>292</v>
      </c>
      <c r="H72" s="67">
        <v>12200</v>
      </c>
    </row>
    <row r="73" spans="1:8" ht="14.25" customHeight="1" x14ac:dyDescent="0.3">
      <c r="A73" s="65" t="s">
        <v>459</v>
      </c>
      <c r="B73" s="65" t="s">
        <v>460</v>
      </c>
      <c r="C73" s="65" t="s">
        <v>279</v>
      </c>
      <c r="D73" s="66">
        <v>36893</v>
      </c>
      <c r="E73" s="65" t="s">
        <v>1727</v>
      </c>
      <c r="F73" s="65" t="s">
        <v>246</v>
      </c>
      <c r="G73" s="65" t="s">
        <v>257</v>
      </c>
      <c r="H73" s="67">
        <v>13200</v>
      </c>
    </row>
    <row r="74" spans="1:8" ht="14.25" customHeight="1" x14ac:dyDescent="0.3">
      <c r="A74" s="65" t="s">
        <v>461</v>
      </c>
      <c r="B74" s="65" t="s">
        <v>462</v>
      </c>
      <c r="C74" s="65" t="s">
        <v>463</v>
      </c>
      <c r="D74" s="66">
        <v>36906</v>
      </c>
      <c r="E74" s="65" t="s">
        <v>1725</v>
      </c>
      <c r="F74" s="65" t="s">
        <v>270</v>
      </c>
      <c r="G74" s="65" t="s">
        <v>257</v>
      </c>
      <c r="H74" s="67">
        <v>12400</v>
      </c>
    </row>
    <row r="75" spans="1:8" ht="14.25" customHeight="1" x14ac:dyDescent="0.3">
      <c r="A75" s="65" t="s">
        <v>464</v>
      </c>
      <c r="B75" s="65" t="s">
        <v>465</v>
      </c>
      <c r="C75" s="65" t="s">
        <v>466</v>
      </c>
      <c r="D75" s="66">
        <v>36919</v>
      </c>
      <c r="E75" s="65" t="s">
        <v>1727</v>
      </c>
      <c r="F75" s="65" t="s">
        <v>246</v>
      </c>
      <c r="G75" s="65" t="s">
        <v>300</v>
      </c>
      <c r="H75" s="67">
        <v>13400</v>
      </c>
    </row>
    <row r="76" spans="1:8" ht="14.25" customHeight="1" x14ac:dyDescent="0.3">
      <c r="A76" s="65" t="s">
        <v>467</v>
      </c>
      <c r="B76" s="65" t="s">
        <v>468</v>
      </c>
      <c r="C76" s="65" t="s">
        <v>288</v>
      </c>
      <c r="D76" s="66">
        <v>36932</v>
      </c>
      <c r="E76" s="65" t="s">
        <v>1732</v>
      </c>
      <c r="F76" s="65" t="s">
        <v>306</v>
      </c>
      <c r="G76" s="65" t="s">
        <v>257</v>
      </c>
      <c r="H76" s="67">
        <v>12600</v>
      </c>
    </row>
    <row r="77" spans="1:8" ht="14.25" customHeight="1" x14ac:dyDescent="0.3">
      <c r="A77" s="65" t="s">
        <v>289</v>
      </c>
      <c r="B77" s="65" t="s">
        <v>469</v>
      </c>
      <c r="C77" s="65" t="s">
        <v>470</v>
      </c>
      <c r="D77" s="66">
        <v>36945</v>
      </c>
      <c r="E77" s="65" t="s">
        <v>1732</v>
      </c>
      <c r="F77" s="65" t="s">
        <v>306</v>
      </c>
      <c r="G77" s="65" t="s">
        <v>343</v>
      </c>
      <c r="H77" s="67">
        <v>13600</v>
      </c>
    </row>
    <row r="78" spans="1:8" ht="14.25" customHeight="1" x14ac:dyDescent="0.3">
      <c r="A78" s="65" t="s">
        <v>471</v>
      </c>
      <c r="B78" s="65" t="s">
        <v>472</v>
      </c>
      <c r="C78" s="65" t="s">
        <v>441</v>
      </c>
      <c r="D78" s="66">
        <v>36958</v>
      </c>
      <c r="E78" s="65" t="s">
        <v>1733</v>
      </c>
      <c r="F78" s="65" t="s">
        <v>473</v>
      </c>
      <c r="G78" s="65" t="s">
        <v>257</v>
      </c>
      <c r="H78" s="67">
        <v>12800</v>
      </c>
    </row>
    <row r="79" spans="1:8" ht="14.25" customHeight="1" x14ac:dyDescent="0.3">
      <c r="A79" s="65" t="s">
        <v>474</v>
      </c>
      <c r="B79" s="65" t="s">
        <v>475</v>
      </c>
      <c r="C79" s="65" t="s">
        <v>476</v>
      </c>
      <c r="D79" s="66">
        <v>36971</v>
      </c>
      <c r="E79" s="65" t="s">
        <v>1732</v>
      </c>
      <c r="F79" s="65" t="s">
        <v>306</v>
      </c>
      <c r="G79" s="65" t="s">
        <v>296</v>
      </c>
      <c r="H79" s="67">
        <v>13800</v>
      </c>
    </row>
    <row r="80" spans="1:8" ht="14.25" customHeight="1" x14ac:dyDescent="0.3">
      <c r="A80" s="65" t="s">
        <v>477</v>
      </c>
      <c r="B80" s="65" t="s">
        <v>478</v>
      </c>
      <c r="C80" s="65" t="s">
        <v>479</v>
      </c>
      <c r="D80" s="66">
        <v>36984</v>
      </c>
      <c r="E80" s="65" t="s">
        <v>1727</v>
      </c>
      <c r="F80" s="65" t="s">
        <v>246</v>
      </c>
      <c r="G80" s="65" t="s">
        <v>332</v>
      </c>
      <c r="H80" s="67">
        <v>13000</v>
      </c>
    </row>
    <row r="81" spans="1:8" ht="14.25" customHeight="1" x14ac:dyDescent="0.3">
      <c r="A81" s="65" t="s">
        <v>480</v>
      </c>
      <c r="B81" s="65" t="s">
        <v>481</v>
      </c>
      <c r="C81" s="65" t="s">
        <v>448</v>
      </c>
      <c r="D81" s="66">
        <v>36997</v>
      </c>
      <c r="E81" s="65" t="s">
        <v>1732</v>
      </c>
      <c r="F81" s="65" t="s">
        <v>306</v>
      </c>
      <c r="G81" s="65" t="s">
        <v>252</v>
      </c>
      <c r="H81" s="67">
        <v>14000</v>
      </c>
    </row>
    <row r="82" spans="1:8" ht="14.25" customHeight="1" x14ac:dyDescent="0.3">
      <c r="A82" s="65" t="s">
        <v>482</v>
      </c>
      <c r="B82" s="65" t="s">
        <v>483</v>
      </c>
      <c r="C82" s="65" t="s">
        <v>484</v>
      </c>
      <c r="D82" s="66">
        <v>37010</v>
      </c>
      <c r="E82" s="65" t="s">
        <v>1732</v>
      </c>
      <c r="F82" s="65" t="s">
        <v>306</v>
      </c>
      <c r="G82" s="65" t="s">
        <v>271</v>
      </c>
      <c r="H82" s="67">
        <v>13200</v>
      </c>
    </row>
    <row r="83" spans="1:8" ht="14.25" customHeight="1" x14ac:dyDescent="0.3">
      <c r="A83" s="65" t="s">
        <v>485</v>
      </c>
      <c r="B83" s="65" t="s">
        <v>486</v>
      </c>
      <c r="C83" s="65" t="s">
        <v>427</v>
      </c>
      <c r="D83" s="66">
        <v>37023</v>
      </c>
      <c r="E83" s="65" t="s">
        <v>1732</v>
      </c>
      <c r="F83" s="65" t="s">
        <v>306</v>
      </c>
      <c r="G83" s="65" t="s">
        <v>257</v>
      </c>
      <c r="H83" s="67">
        <v>14200</v>
      </c>
    </row>
    <row r="84" spans="1:8" ht="14.25" customHeight="1" x14ac:dyDescent="0.3">
      <c r="A84" s="65" t="s">
        <v>487</v>
      </c>
      <c r="B84" s="65" t="s">
        <v>488</v>
      </c>
      <c r="C84" s="65" t="s">
        <v>448</v>
      </c>
      <c r="D84" s="66">
        <v>37036</v>
      </c>
      <c r="E84" s="65" t="s">
        <v>1725</v>
      </c>
      <c r="F84" s="65" t="s">
        <v>270</v>
      </c>
      <c r="G84" s="65" t="s">
        <v>252</v>
      </c>
      <c r="H84" s="67">
        <v>13400</v>
      </c>
    </row>
    <row r="85" spans="1:8" ht="14.25" customHeight="1" x14ac:dyDescent="0.3">
      <c r="A85" s="65" t="s">
        <v>489</v>
      </c>
      <c r="B85" s="65" t="s">
        <v>490</v>
      </c>
      <c r="C85" s="65" t="s">
        <v>388</v>
      </c>
      <c r="D85" s="66">
        <v>37049</v>
      </c>
      <c r="E85" s="65" t="s">
        <v>1725</v>
      </c>
      <c r="F85" s="65" t="s">
        <v>270</v>
      </c>
      <c r="G85" s="65" t="s">
        <v>257</v>
      </c>
      <c r="H85" s="67">
        <v>14400</v>
      </c>
    </row>
    <row r="86" spans="1:8" ht="14.25" customHeight="1" x14ac:dyDescent="0.3">
      <c r="A86" s="65" t="s">
        <v>491</v>
      </c>
      <c r="B86" s="65" t="s">
        <v>492</v>
      </c>
      <c r="C86" s="65" t="s">
        <v>493</v>
      </c>
      <c r="D86" s="66">
        <v>37062</v>
      </c>
      <c r="E86" s="65" t="s">
        <v>1732</v>
      </c>
      <c r="F86" s="65" t="s">
        <v>306</v>
      </c>
      <c r="G86" s="65" t="s">
        <v>494</v>
      </c>
      <c r="H86" s="67">
        <v>13600</v>
      </c>
    </row>
    <row r="87" spans="1:8" ht="14.25" customHeight="1" x14ac:dyDescent="0.3">
      <c r="A87" s="65" t="s">
        <v>495</v>
      </c>
      <c r="B87" s="65" t="s">
        <v>496</v>
      </c>
      <c r="C87" s="65" t="s">
        <v>497</v>
      </c>
      <c r="D87" s="66">
        <v>37075</v>
      </c>
      <c r="E87" s="65" t="s">
        <v>1732</v>
      </c>
      <c r="F87" s="65" t="s">
        <v>306</v>
      </c>
      <c r="G87" s="65" t="s">
        <v>317</v>
      </c>
      <c r="H87" s="67">
        <v>14600</v>
      </c>
    </row>
    <row r="88" spans="1:8" ht="14.25" customHeight="1" x14ac:dyDescent="0.3">
      <c r="A88" s="65" t="s">
        <v>498</v>
      </c>
      <c r="B88" s="65" t="s">
        <v>499</v>
      </c>
      <c r="C88" s="65" t="s">
        <v>500</v>
      </c>
      <c r="D88" s="66">
        <v>37088</v>
      </c>
      <c r="E88" s="65" t="s">
        <v>1729</v>
      </c>
      <c r="F88" s="65" t="s">
        <v>377</v>
      </c>
      <c r="G88" s="65" t="s">
        <v>501</v>
      </c>
      <c r="H88" s="67">
        <v>13800</v>
      </c>
    </row>
    <row r="89" spans="1:8" ht="14.25" customHeight="1" x14ac:dyDescent="0.3">
      <c r="A89" s="65" t="s">
        <v>502</v>
      </c>
      <c r="B89" s="65" t="s">
        <v>503</v>
      </c>
      <c r="C89" s="65" t="s">
        <v>504</v>
      </c>
      <c r="D89" s="66">
        <v>37101</v>
      </c>
      <c r="E89" s="65" t="s">
        <v>1727</v>
      </c>
      <c r="F89" s="65" t="s">
        <v>246</v>
      </c>
      <c r="G89" s="65" t="s">
        <v>257</v>
      </c>
      <c r="H89" s="67">
        <v>14800</v>
      </c>
    </row>
    <row r="90" spans="1:8" ht="14.25" customHeight="1" x14ac:dyDescent="0.3">
      <c r="A90" s="65" t="s">
        <v>505</v>
      </c>
      <c r="B90" s="65" t="s">
        <v>506</v>
      </c>
      <c r="C90" s="65" t="s">
        <v>305</v>
      </c>
      <c r="D90" s="66">
        <v>37114</v>
      </c>
      <c r="E90" s="65" t="s">
        <v>1732</v>
      </c>
      <c r="F90" s="65" t="s">
        <v>306</v>
      </c>
      <c r="G90" s="65" t="s">
        <v>300</v>
      </c>
      <c r="H90" s="67">
        <v>14000</v>
      </c>
    </row>
    <row r="91" spans="1:8" ht="14.25" customHeight="1" x14ac:dyDescent="0.3">
      <c r="A91" s="65" t="s">
        <v>507</v>
      </c>
      <c r="B91" s="65" t="s">
        <v>508</v>
      </c>
      <c r="C91" s="65" t="s">
        <v>509</v>
      </c>
      <c r="D91" s="66">
        <v>37127</v>
      </c>
      <c r="E91" s="65" t="s">
        <v>1732</v>
      </c>
      <c r="F91" s="65" t="s">
        <v>306</v>
      </c>
      <c r="G91" s="65" t="s">
        <v>300</v>
      </c>
      <c r="H91" s="67">
        <v>15000</v>
      </c>
    </row>
    <row r="92" spans="1:8" ht="14.25" customHeight="1" x14ac:dyDescent="0.3">
      <c r="A92" s="65" t="s">
        <v>510</v>
      </c>
      <c r="B92" s="65" t="s">
        <v>511</v>
      </c>
      <c r="C92" s="65" t="s">
        <v>455</v>
      </c>
      <c r="D92" s="66">
        <v>37140</v>
      </c>
      <c r="E92" s="65" t="s">
        <v>1727</v>
      </c>
      <c r="F92" s="65" t="s">
        <v>246</v>
      </c>
      <c r="G92" s="65" t="s">
        <v>300</v>
      </c>
      <c r="H92" s="67">
        <v>14200</v>
      </c>
    </row>
    <row r="93" spans="1:8" ht="14.25" customHeight="1" x14ac:dyDescent="0.3">
      <c r="A93" s="65" t="s">
        <v>512</v>
      </c>
      <c r="B93" s="65" t="s">
        <v>513</v>
      </c>
      <c r="C93" s="65" t="s">
        <v>514</v>
      </c>
      <c r="D93" s="66">
        <v>37153</v>
      </c>
      <c r="E93" s="65" t="s">
        <v>1727</v>
      </c>
      <c r="F93" s="65" t="s">
        <v>246</v>
      </c>
      <c r="G93" s="65" t="s">
        <v>257</v>
      </c>
      <c r="H93" s="67">
        <v>15200</v>
      </c>
    </row>
    <row r="94" spans="1:8" ht="14.25" customHeight="1" x14ac:dyDescent="0.3">
      <c r="A94" s="65" t="s">
        <v>515</v>
      </c>
      <c r="B94" s="65" t="s">
        <v>516</v>
      </c>
      <c r="C94" s="65" t="s">
        <v>517</v>
      </c>
      <c r="D94" s="66">
        <v>37166</v>
      </c>
      <c r="E94" s="65" t="s">
        <v>1724</v>
      </c>
      <c r="F94" s="65" t="s">
        <v>237</v>
      </c>
      <c r="G94" s="65" t="s">
        <v>332</v>
      </c>
      <c r="H94" s="67">
        <v>14400</v>
      </c>
    </row>
    <row r="95" spans="1:8" ht="14.25" customHeight="1" x14ac:dyDescent="0.3">
      <c r="A95" s="65" t="s">
        <v>518</v>
      </c>
      <c r="B95" s="65" t="s">
        <v>519</v>
      </c>
      <c r="C95" s="65" t="s">
        <v>509</v>
      </c>
      <c r="D95" s="66">
        <v>37179</v>
      </c>
      <c r="E95" s="65" t="s">
        <v>1726</v>
      </c>
      <c r="F95" s="65" t="s">
        <v>284</v>
      </c>
      <c r="G95" s="65" t="s">
        <v>300</v>
      </c>
      <c r="H95" s="67">
        <v>15400</v>
      </c>
    </row>
    <row r="96" spans="1:8" ht="14.25" customHeight="1" x14ac:dyDescent="0.3">
      <c r="A96" s="65" t="s">
        <v>520</v>
      </c>
      <c r="B96" s="65" t="s">
        <v>521</v>
      </c>
      <c r="C96" s="65" t="s">
        <v>466</v>
      </c>
      <c r="D96" s="66">
        <v>37192</v>
      </c>
      <c r="E96" s="65" t="s">
        <v>1730</v>
      </c>
      <c r="F96" s="65" t="s">
        <v>237</v>
      </c>
      <c r="G96" s="65" t="s">
        <v>300</v>
      </c>
      <c r="H96" s="67">
        <v>14600</v>
      </c>
    </row>
    <row r="97" spans="1:8" ht="14.25" customHeight="1" x14ac:dyDescent="0.3">
      <c r="A97" s="65" t="s">
        <v>522</v>
      </c>
      <c r="B97" s="65" t="s">
        <v>523</v>
      </c>
      <c r="C97" s="65" t="s">
        <v>409</v>
      </c>
      <c r="D97" s="66">
        <v>37205</v>
      </c>
      <c r="E97" s="65" t="s">
        <v>1725</v>
      </c>
      <c r="F97" s="65" t="s">
        <v>270</v>
      </c>
      <c r="G97" s="65" t="s">
        <v>252</v>
      </c>
      <c r="H97" s="67">
        <v>15600</v>
      </c>
    </row>
    <row r="98" spans="1:8" ht="14.25" customHeight="1" x14ac:dyDescent="0.3">
      <c r="A98" s="65" t="s">
        <v>524</v>
      </c>
      <c r="B98" s="65" t="s">
        <v>525</v>
      </c>
      <c r="C98" s="65" t="s">
        <v>351</v>
      </c>
      <c r="D98" s="66">
        <v>37218</v>
      </c>
      <c r="E98" s="65" t="s">
        <v>320</v>
      </c>
      <c r="F98" s="65" t="s">
        <v>320</v>
      </c>
      <c r="G98" s="65" t="s">
        <v>332</v>
      </c>
      <c r="H98" s="67">
        <v>14800</v>
      </c>
    </row>
    <row r="99" spans="1:8" ht="14.25" customHeight="1" x14ac:dyDescent="0.3">
      <c r="A99" s="65" t="s">
        <v>526</v>
      </c>
      <c r="B99" s="65" t="s">
        <v>527</v>
      </c>
      <c r="C99" s="65" t="s">
        <v>528</v>
      </c>
      <c r="D99" s="66">
        <v>37231</v>
      </c>
      <c r="E99" s="65" t="s">
        <v>1724</v>
      </c>
      <c r="F99" s="65" t="s">
        <v>237</v>
      </c>
      <c r="G99" s="65" t="s">
        <v>257</v>
      </c>
      <c r="H99" s="67">
        <v>15800</v>
      </c>
    </row>
    <row r="100" spans="1:8" ht="14.25" customHeight="1" x14ac:dyDescent="0.3">
      <c r="A100" s="65" t="s">
        <v>529</v>
      </c>
      <c r="B100" s="65" t="s">
        <v>499</v>
      </c>
      <c r="C100" s="65" t="s">
        <v>514</v>
      </c>
      <c r="D100" s="66">
        <v>37244</v>
      </c>
      <c r="E100" s="65" t="s">
        <v>1725</v>
      </c>
      <c r="F100" s="65" t="s">
        <v>270</v>
      </c>
      <c r="G100" s="65" t="s">
        <v>257</v>
      </c>
      <c r="H100" s="67">
        <v>15000</v>
      </c>
    </row>
    <row r="101" spans="1:8" ht="14.25" customHeight="1" x14ac:dyDescent="0.3">
      <c r="A101" s="65" t="s">
        <v>530</v>
      </c>
      <c r="B101" s="65" t="s">
        <v>531</v>
      </c>
      <c r="C101" s="65" t="s">
        <v>532</v>
      </c>
      <c r="D101" s="66">
        <v>37257</v>
      </c>
      <c r="E101" s="65" t="s">
        <v>1732</v>
      </c>
      <c r="F101" s="65" t="s">
        <v>306</v>
      </c>
      <c r="G101" s="65" t="s">
        <v>533</v>
      </c>
      <c r="H101" s="67">
        <v>16000</v>
      </c>
    </row>
    <row r="102" spans="1:8" ht="14.25" customHeight="1" x14ac:dyDescent="0.3">
      <c r="A102" s="65" t="s">
        <v>534</v>
      </c>
      <c r="B102" s="65" t="s">
        <v>535</v>
      </c>
      <c r="C102" s="65" t="s">
        <v>536</v>
      </c>
      <c r="D102" s="66">
        <v>37270</v>
      </c>
      <c r="E102" s="65" t="s">
        <v>1732</v>
      </c>
      <c r="F102" s="65" t="s">
        <v>306</v>
      </c>
      <c r="G102" s="65" t="s">
        <v>252</v>
      </c>
      <c r="H102" s="67">
        <v>15200</v>
      </c>
    </row>
    <row r="103" spans="1:8" ht="14.25" customHeight="1" x14ac:dyDescent="0.3">
      <c r="A103" s="65" t="s">
        <v>537</v>
      </c>
      <c r="B103" s="65" t="s">
        <v>538</v>
      </c>
      <c r="C103" s="65" t="s">
        <v>476</v>
      </c>
      <c r="D103" s="66">
        <v>37283</v>
      </c>
      <c r="E103" s="65" t="s">
        <v>1725</v>
      </c>
      <c r="F103" s="65" t="s">
        <v>270</v>
      </c>
      <c r="G103" s="65" t="s">
        <v>296</v>
      </c>
      <c r="H103" s="67">
        <v>16200</v>
      </c>
    </row>
    <row r="104" spans="1:8" ht="14.25" customHeight="1" x14ac:dyDescent="0.3">
      <c r="A104" s="65" t="s">
        <v>539</v>
      </c>
      <c r="B104" s="65" t="s">
        <v>540</v>
      </c>
      <c r="C104" s="65" t="s">
        <v>279</v>
      </c>
      <c r="D104" s="66">
        <v>37296</v>
      </c>
      <c r="E104" s="65" t="s">
        <v>1725</v>
      </c>
      <c r="F104" s="65" t="s">
        <v>270</v>
      </c>
      <c r="G104" s="65" t="s">
        <v>257</v>
      </c>
      <c r="H104" s="67">
        <v>15400</v>
      </c>
    </row>
    <row r="105" spans="1:8" ht="14.25" customHeight="1" x14ac:dyDescent="0.3">
      <c r="A105" s="65" t="s">
        <v>541</v>
      </c>
      <c r="B105" s="65" t="s">
        <v>542</v>
      </c>
      <c r="C105" s="65" t="s">
        <v>455</v>
      </c>
      <c r="D105" s="66">
        <v>37309</v>
      </c>
      <c r="E105" s="65" t="s">
        <v>1724</v>
      </c>
      <c r="F105" s="65" t="s">
        <v>237</v>
      </c>
      <c r="G105" s="65" t="s">
        <v>300</v>
      </c>
      <c r="H105" s="67">
        <v>16400</v>
      </c>
    </row>
    <row r="106" spans="1:8" ht="14.25" customHeight="1" x14ac:dyDescent="0.3">
      <c r="A106" s="65" t="s">
        <v>543</v>
      </c>
      <c r="B106" s="65" t="s">
        <v>544</v>
      </c>
      <c r="C106" s="65" t="s">
        <v>326</v>
      </c>
      <c r="D106" s="66">
        <v>37322</v>
      </c>
      <c r="E106" s="65" t="s">
        <v>1725</v>
      </c>
      <c r="F106" s="65" t="s">
        <v>270</v>
      </c>
      <c r="G106" s="65" t="s">
        <v>300</v>
      </c>
      <c r="H106" s="67">
        <v>15600</v>
      </c>
    </row>
    <row r="107" spans="1:8" ht="14.25" customHeight="1" x14ac:dyDescent="0.3">
      <c r="A107" s="65" t="s">
        <v>545</v>
      </c>
      <c r="B107" s="65" t="s">
        <v>546</v>
      </c>
      <c r="C107" s="65" t="s">
        <v>279</v>
      </c>
      <c r="D107" s="66">
        <v>37335</v>
      </c>
      <c r="E107" s="65" t="s">
        <v>1725</v>
      </c>
      <c r="F107" s="65" t="s">
        <v>270</v>
      </c>
      <c r="G107" s="65" t="s">
        <v>257</v>
      </c>
      <c r="H107" s="67">
        <v>16600</v>
      </c>
    </row>
    <row r="108" spans="1:8" ht="14.25" customHeight="1" x14ac:dyDescent="0.3">
      <c r="A108" s="65" t="s">
        <v>547</v>
      </c>
      <c r="B108" s="65" t="s">
        <v>548</v>
      </c>
      <c r="C108" s="65" t="s">
        <v>484</v>
      </c>
      <c r="D108" s="66">
        <v>37348</v>
      </c>
      <c r="E108" s="65" t="s">
        <v>1732</v>
      </c>
      <c r="F108" s="65" t="s">
        <v>306</v>
      </c>
      <c r="G108" s="65" t="s">
        <v>271</v>
      </c>
      <c r="H108" s="67">
        <v>15800</v>
      </c>
    </row>
    <row r="109" spans="1:8" ht="14.25" customHeight="1" x14ac:dyDescent="0.3">
      <c r="A109" s="65" t="s">
        <v>549</v>
      </c>
      <c r="B109" s="65" t="s">
        <v>550</v>
      </c>
      <c r="C109" s="65" t="s">
        <v>517</v>
      </c>
      <c r="D109" s="66">
        <v>37361</v>
      </c>
      <c r="E109" s="65" t="s">
        <v>1725</v>
      </c>
      <c r="F109" s="65" t="s">
        <v>270</v>
      </c>
      <c r="G109" s="65" t="s">
        <v>332</v>
      </c>
      <c r="H109" s="67">
        <v>16800</v>
      </c>
    </row>
    <row r="110" spans="1:8" ht="14.25" customHeight="1" x14ac:dyDescent="0.3">
      <c r="A110" s="65" t="s">
        <v>551</v>
      </c>
      <c r="B110" s="65" t="s">
        <v>552</v>
      </c>
      <c r="C110" s="65" t="s">
        <v>553</v>
      </c>
      <c r="D110" s="66">
        <v>37374</v>
      </c>
      <c r="E110" s="65" t="s">
        <v>1732</v>
      </c>
      <c r="F110" s="65" t="s">
        <v>306</v>
      </c>
      <c r="G110" s="65" t="s">
        <v>378</v>
      </c>
      <c r="H110" s="67">
        <v>16000</v>
      </c>
    </row>
    <row r="111" spans="1:8" ht="14.25" customHeight="1" x14ac:dyDescent="0.3">
      <c r="A111" s="65" t="s">
        <v>554</v>
      </c>
      <c r="B111" s="65" t="s">
        <v>555</v>
      </c>
      <c r="C111" s="65" t="s">
        <v>438</v>
      </c>
      <c r="D111" s="66">
        <v>37387</v>
      </c>
      <c r="E111" s="65" t="s">
        <v>1725</v>
      </c>
      <c r="F111" s="65" t="s">
        <v>270</v>
      </c>
      <c r="G111" s="65" t="s">
        <v>252</v>
      </c>
      <c r="H111" s="67">
        <v>17000</v>
      </c>
    </row>
    <row r="112" spans="1:8" ht="14.25" customHeight="1" x14ac:dyDescent="0.3">
      <c r="A112" s="65" t="s">
        <v>556</v>
      </c>
      <c r="B112" s="65" t="s">
        <v>557</v>
      </c>
      <c r="C112" s="65" t="s">
        <v>383</v>
      </c>
      <c r="D112" s="66">
        <v>37400</v>
      </c>
      <c r="E112" s="65" t="s">
        <v>1727</v>
      </c>
      <c r="F112" s="65" t="s">
        <v>246</v>
      </c>
      <c r="G112" s="65" t="s">
        <v>252</v>
      </c>
      <c r="H112" s="67">
        <v>16200</v>
      </c>
    </row>
    <row r="113" spans="1:8" ht="14.25" customHeight="1" x14ac:dyDescent="0.3">
      <c r="A113" s="65" t="s">
        <v>558</v>
      </c>
      <c r="B113" s="65" t="s">
        <v>559</v>
      </c>
      <c r="C113" s="65" t="s">
        <v>448</v>
      </c>
      <c r="D113" s="66">
        <v>37413</v>
      </c>
      <c r="E113" s="65" t="s">
        <v>1725</v>
      </c>
      <c r="F113" s="65" t="s">
        <v>270</v>
      </c>
      <c r="G113" s="65" t="s">
        <v>252</v>
      </c>
      <c r="H113" s="67">
        <v>17200</v>
      </c>
    </row>
    <row r="114" spans="1:8" ht="14.25" customHeight="1" x14ac:dyDescent="0.3">
      <c r="A114" s="65" t="s">
        <v>560</v>
      </c>
      <c r="B114" s="65" t="s">
        <v>561</v>
      </c>
      <c r="C114" s="65" t="s">
        <v>562</v>
      </c>
      <c r="D114" s="66">
        <v>37426</v>
      </c>
      <c r="E114" s="65" t="s">
        <v>1732</v>
      </c>
      <c r="F114" s="65" t="s">
        <v>306</v>
      </c>
      <c r="G114" s="65" t="s">
        <v>332</v>
      </c>
      <c r="H114" s="67">
        <v>16400</v>
      </c>
    </row>
    <row r="115" spans="1:8" ht="14.25" customHeight="1" x14ac:dyDescent="0.3">
      <c r="A115" s="65" t="s">
        <v>563</v>
      </c>
      <c r="B115" s="65" t="s">
        <v>564</v>
      </c>
      <c r="C115" s="65" t="s">
        <v>565</v>
      </c>
      <c r="D115" s="66">
        <v>37439</v>
      </c>
      <c r="E115" s="65" t="s">
        <v>320</v>
      </c>
      <c r="F115" s="65" t="s">
        <v>320</v>
      </c>
      <c r="G115" s="65" t="s">
        <v>257</v>
      </c>
      <c r="H115" s="67">
        <v>17400</v>
      </c>
    </row>
    <row r="116" spans="1:8" ht="14.25" customHeight="1" x14ac:dyDescent="0.3">
      <c r="A116" s="65" t="s">
        <v>566</v>
      </c>
      <c r="B116" s="65" t="s">
        <v>567</v>
      </c>
      <c r="C116" s="65" t="s">
        <v>568</v>
      </c>
      <c r="D116" s="66">
        <v>37452</v>
      </c>
      <c r="E116" s="65" t="s">
        <v>1725</v>
      </c>
      <c r="F116" s="65" t="s">
        <v>270</v>
      </c>
      <c r="G116" s="65" t="s">
        <v>257</v>
      </c>
      <c r="H116" s="67">
        <v>16600</v>
      </c>
    </row>
    <row r="117" spans="1:8" ht="14.25" customHeight="1" x14ac:dyDescent="0.3">
      <c r="A117" s="65" t="s">
        <v>569</v>
      </c>
      <c r="B117" s="65" t="s">
        <v>570</v>
      </c>
      <c r="C117" s="65" t="s">
        <v>441</v>
      </c>
      <c r="D117" s="66">
        <v>37465</v>
      </c>
      <c r="E117" s="65" t="s">
        <v>234</v>
      </c>
      <c r="F117" s="65" t="s">
        <v>236</v>
      </c>
      <c r="G117" s="65" t="s">
        <v>257</v>
      </c>
      <c r="H117" s="67">
        <v>17600</v>
      </c>
    </row>
    <row r="118" spans="1:8" ht="14.25" customHeight="1" x14ac:dyDescent="0.3">
      <c r="A118" s="65" t="s">
        <v>571</v>
      </c>
      <c r="B118" s="65" t="s">
        <v>572</v>
      </c>
      <c r="C118" s="65" t="s">
        <v>288</v>
      </c>
      <c r="D118" s="66">
        <v>37478</v>
      </c>
      <c r="E118" s="65" t="s">
        <v>1725</v>
      </c>
      <c r="F118" s="65" t="s">
        <v>270</v>
      </c>
      <c r="G118" s="65" t="s">
        <v>257</v>
      </c>
      <c r="H118" s="67">
        <v>16800</v>
      </c>
    </row>
    <row r="119" spans="1:8" ht="14.25" customHeight="1" x14ac:dyDescent="0.3">
      <c r="A119" s="65" t="s">
        <v>573</v>
      </c>
      <c r="B119" s="65" t="s">
        <v>574</v>
      </c>
      <c r="C119" s="65" t="s">
        <v>514</v>
      </c>
      <c r="D119" s="66">
        <v>37491</v>
      </c>
      <c r="E119" s="65" t="s">
        <v>320</v>
      </c>
      <c r="F119" s="65" t="s">
        <v>320</v>
      </c>
      <c r="G119" s="65" t="s">
        <v>257</v>
      </c>
      <c r="H119" s="67">
        <v>17800</v>
      </c>
    </row>
    <row r="120" spans="1:8" ht="14.25" customHeight="1" x14ac:dyDescent="0.3">
      <c r="A120" s="65" t="s">
        <v>575</v>
      </c>
      <c r="B120" s="65" t="s">
        <v>548</v>
      </c>
      <c r="C120" s="65" t="s">
        <v>576</v>
      </c>
      <c r="D120" s="66">
        <v>37504</v>
      </c>
      <c r="E120" s="65" t="s">
        <v>1732</v>
      </c>
      <c r="F120" s="65" t="s">
        <v>306</v>
      </c>
      <c r="G120" s="65" t="s">
        <v>332</v>
      </c>
      <c r="H120" s="67">
        <v>17000</v>
      </c>
    </row>
    <row r="121" spans="1:8" ht="14.25" customHeight="1" x14ac:dyDescent="0.3">
      <c r="A121" s="65" t="s">
        <v>577</v>
      </c>
      <c r="B121" s="65" t="s">
        <v>578</v>
      </c>
      <c r="C121" s="65" t="s">
        <v>579</v>
      </c>
      <c r="D121" s="66">
        <v>37517</v>
      </c>
      <c r="E121" s="65" t="s">
        <v>1725</v>
      </c>
      <c r="F121" s="65" t="s">
        <v>270</v>
      </c>
      <c r="G121" s="65" t="s">
        <v>533</v>
      </c>
      <c r="H121" s="67">
        <v>18000</v>
      </c>
    </row>
    <row r="122" spans="1:8" ht="14.25" customHeight="1" x14ac:dyDescent="0.3">
      <c r="A122" s="65" t="s">
        <v>580</v>
      </c>
      <c r="B122" s="65" t="s">
        <v>581</v>
      </c>
      <c r="C122" s="65" t="s">
        <v>582</v>
      </c>
      <c r="D122" s="66">
        <v>37530</v>
      </c>
      <c r="E122" s="65" t="s">
        <v>1730</v>
      </c>
      <c r="F122" s="65" t="s">
        <v>237</v>
      </c>
      <c r="G122" s="65" t="s">
        <v>257</v>
      </c>
      <c r="H122" s="67">
        <v>17200</v>
      </c>
    </row>
    <row r="123" spans="1:8" ht="14.25" customHeight="1" x14ac:dyDescent="0.3">
      <c r="A123" s="65" t="s">
        <v>583</v>
      </c>
      <c r="B123" s="65" t="s">
        <v>584</v>
      </c>
      <c r="C123" s="65" t="s">
        <v>514</v>
      </c>
      <c r="D123" s="66">
        <v>37543</v>
      </c>
      <c r="E123" s="65" t="s">
        <v>1732</v>
      </c>
      <c r="F123" s="65" t="s">
        <v>306</v>
      </c>
      <c r="G123" s="65" t="s">
        <v>257</v>
      </c>
      <c r="H123" s="67">
        <v>18200</v>
      </c>
    </row>
    <row r="124" spans="1:8" ht="14.25" customHeight="1" x14ac:dyDescent="0.3">
      <c r="A124" s="65" t="s">
        <v>585</v>
      </c>
      <c r="B124" s="65" t="s">
        <v>586</v>
      </c>
      <c r="C124" s="65" t="s">
        <v>288</v>
      </c>
      <c r="D124" s="66">
        <v>37556</v>
      </c>
      <c r="E124" s="65" t="s">
        <v>1733</v>
      </c>
      <c r="F124" s="65" t="s">
        <v>473</v>
      </c>
      <c r="G124" s="65" t="s">
        <v>257</v>
      </c>
      <c r="H124" s="67">
        <v>17400</v>
      </c>
    </row>
    <row r="125" spans="1:8" ht="14.25" customHeight="1" x14ac:dyDescent="0.3">
      <c r="A125" s="65" t="s">
        <v>587</v>
      </c>
      <c r="B125" s="65" t="s">
        <v>588</v>
      </c>
      <c r="C125" s="65" t="s">
        <v>589</v>
      </c>
      <c r="D125" s="66">
        <v>37569</v>
      </c>
      <c r="E125" s="65" t="s">
        <v>1732</v>
      </c>
      <c r="F125" s="65" t="s">
        <v>306</v>
      </c>
      <c r="G125" s="65" t="s">
        <v>533</v>
      </c>
      <c r="H125" s="67">
        <v>18400</v>
      </c>
    </row>
    <row r="126" spans="1:8" ht="14.25" customHeight="1" x14ac:dyDescent="0.3">
      <c r="A126" s="65" t="s">
        <v>590</v>
      </c>
      <c r="B126" s="65" t="s">
        <v>591</v>
      </c>
      <c r="C126" s="65" t="s">
        <v>528</v>
      </c>
      <c r="D126" s="66">
        <v>37582</v>
      </c>
      <c r="E126" s="65" t="s">
        <v>1725</v>
      </c>
      <c r="F126" s="65" t="s">
        <v>270</v>
      </c>
      <c r="G126" s="65" t="s">
        <v>257</v>
      </c>
      <c r="H126" s="67">
        <v>17600</v>
      </c>
    </row>
    <row r="127" spans="1:8" ht="14.25" customHeight="1" x14ac:dyDescent="0.3">
      <c r="A127" s="65" t="s">
        <v>592</v>
      </c>
      <c r="B127" s="65" t="s">
        <v>593</v>
      </c>
      <c r="C127" s="65" t="s">
        <v>383</v>
      </c>
      <c r="D127" s="66">
        <v>37595</v>
      </c>
      <c r="E127" s="65" t="s">
        <v>1725</v>
      </c>
      <c r="F127" s="65" t="s">
        <v>270</v>
      </c>
      <c r="G127" s="65" t="s">
        <v>252</v>
      </c>
      <c r="H127" s="67">
        <v>18600</v>
      </c>
    </row>
    <row r="128" spans="1:8" ht="14.25" customHeight="1" x14ac:dyDescent="0.3">
      <c r="A128" s="65" t="s">
        <v>594</v>
      </c>
      <c r="B128" s="65" t="s">
        <v>595</v>
      </c>
      <c r="C128" s="65" t="s">
        <v>288</v>
      </c>
      <c r="D128" s="66">
        <v>37608</v>
      </c>
      <c r="E128" s="65" t="s">
        <v>1732</v>
      </c>
      <c r="F128" s="65" t="s">
        <v>306</v>
      </c>
      <c r="G128" s="65" t="s">
        <v>257</v>
      </c>
      <c r="H128" s="67">
        <v>17800</v>
      </c>
    </row>
    <row r="129" spans="1:8" ht="14.25" customHeight="1" x14ac:dyDescent="0.3">
      <c r="A129" s="65" t="s">
        <v>596</v>
      </c>
      <c r="B129" s="65" t="s">
        <v>250</v>
      </c>
      <c r="C129" s="65" t="s">
        <v>383</v>
      </c>
      <c r="D129" s="66">
        <v>37621</v>
      </c>
      <c r="E129" s="65" t="s">
        <v>1725</v>
      </c>
      <c r="F129" s="65" t="s">
        <v>270</v>
      </c>
      <c r="G129" s="65" t="s">
        <v>252</v>
      </c>
      <c r="H129" s="67">
        <v>18800</v>
      </c>
    </row>
    <row r="130" spans="1:8" ht="14.25" customHeight="1" x14ac:dyDescent="0.3">
      <c r="A130" s="65" t="s">
        <v>597</v>
      </c>
      <c r="B130" s="65" t="s">
        <v>598</v>
      </c>
      <c r="C130" s="65" t="s">
        <v>427</v>
      </c>
      <c r="D130" s="66">
        <v>37634</v>
      </c>
      <c r="E130" s="65" t="s">
        <v>1729</v>
      </c>
      <c r="F130" s="65" t="s">
        <v>377</v>
      </c>
      <c r="G130" s="65" t="s">
        <v>257</v>
      </c>
      <c r="H130" s="67">
        <v>18000</v>
      </c>
    </row>
    <row r="131" spans="1:8" ht="14.25" customHeight="1" x14ac:dyDescent="0.3">
      <c r="A131" s="65" t="s">
        <v>599</v>
      </c>
      <c r="B131" s="65" t="s">
        <v>600</v>
      </c>
      <c r="C131" s="65" t="s">
        <v>601</v>
      </c>
      <c r="D131" s="66">
        <v>37647</v>
      </c>
      <c r="E131" s="65" t="s">
        <v>1725</v>
      </c>
      <c r="F131" s="65" t="s">
        <v>270</v>
      </c>
      <c r="G131" s="65" t="s">
        <v>296</v>
      </c>
      <c r="H131" s="67">
        <v>19000</v>
      </c>
    </row>
    <row r="132" spans="1:8" ht="14.25" customHeight="1" x14ac:dyDescent="0.3">
      <c r="A132" s="65" t="s">
        <v>602</v>
      </c>
      <c r="B132" s="65" t="s">
        <v>603</v>
      </c>
      <c r="C132" s="65" t="s">
        <v>279</v>
      </c>
      <c r="D132" s="66">
        <v>37660</v>
      </c>
      <c r="E132" s="65" t="s">
        <v>1723</v>
      </c>
      <c r="F132" s="65" t="s">
        <v>246</v>
      </c>
      <c r="G132" s="65" t="s">
        <v>257</v>
      </c>
      <c r="H132" s="67">
        <v>18200</v>
      </c>
    </row>
    <row r="133" spans="1:8" ht="14.25" customHeight="1" x14ac:dyDescent="0.3">
      <c r="A133" s="65" t="s">
        <v>604</v>
      </c>
      <c r="B133" s="65" t="s">
        <v>605</v>
      </c>
      <c r="C133" s="65" t="s">
        <v>606</v>
      </c>
      <c r="D133" s="66">
        <v>37673</v>
      </c>
      <c r="E133" s="65" t="s">
        <v>237</v>
      </c>
      <c r="F133" s="65" t="s">
        <v>237</v>
      </c>
      <c r="G133" s="65" t="s">
        <v>367</v>
      </c>
      <c r="H133" s="67">
        <v>19200</v>
      </c>
    </row>
    <row r="134" spans="1:8" ht="14.25" customHeight="1" x14ac:dyDescent="0.3">
      <c r="A134" s="65" t="s">
        <v>607</v>
      </c>
      <c r="B134" s="65" t="s">
        <v>608</v>
      </c>
      <c r="C134" s="65" t="s">
        <v>335</v>
      </c>
      <c r="D134" s="66">
        <v>37686</v>
      </c>
      <c r="E134" s="65" t="s">
        <v>1725</v>
      </c>
      <c r="F134" s="65" t="s">
        <v>270</v>
      </c>
      <c r="G134" s="65" t="s">
        <v>252</v>
      </c>
      <c r="H134" s="67">
        <v>18400</v>
      </c>
    </row>
    <row r="135" spans="1:8" ht="14.25" customHeight="1" x14ac:dyDescent="0.3">
      <c r="A135" s="65" t="s">
        <v>609</v>
      </c>
      <c r="B135" s="65" t="s">
        <v>610</v>
      </c>
      <c r="C135" s="65" t="s">
        <v>611</v>
      </c>
      <c r="D135" s="66">
        <v>37699</v>
      </c>
      <c r="E135" s="65" t="s">
        <v>1729</v>
      </c>
      <c r="F135" s="65" t="s">
        <v>377</v>
      </c>
      <c r="G135" s="65" t="s">
        <v>257</v>
      </c>
      <c r="H135" s="67">
        <v>19400</v>
      </c>
    </row>
    <row r="136" spans="1:8" ht="14.25" customHeight="1" x14ac:dyDescent="0.3">
      <c r="A136" s="65" t="s">
        <v>612</v>
      </c>
      <c r="B136" s="65" t="s">
        <v>613</v>
      </c>
      <c r="C136" s="65" t="s">
        <v>614</v>
      </c>
      <c r="D136" s="66">
        <v>37712</v>
      </c>
      <c r="E136" s="65" t="s">
        <v>1725</v>
      </c>
      <c r="F136" s="65" t="s">
        <v>270</v>
      </c>
      <c r="G136" s="65" t="s">
        <v>367</v>
      </c>
      <c r="H136" s="67">
        <v>18600</v>
      </c>
    </row>
    <row r="137" spans="1:8" ht="14.25" customHeight="1" x14ac:dyDescent="0.3">
      <c r="A137" s="65" t="s">
        <v>615</v>
      </c>
      <c r="B137" s="65" t="s">
        <v>616</v>
      </c>
      <c r="C137" s="65" t="s">
        <v>295</v>
      </c>
      <c r="D137" s="66">
        <v>37725</v>
      </c>
      <c r="E137" s="65" t="s">
        <v>1727</v>
      </c>
      <c r="F137" s="65" t="s">
        <v>246</v>
      </c>
      <c r="G137" s="65" t="s">
        <v>296</v>
      </c>
      <c r="H137" s="67">
        <v>19600</v>
      </c>
    </row>
    <row r="138" spans="1:8" ht="14.25" customHeight="1" x14ac:dyDescent="0.3">
      <c r="A138" s="65" t="s">
        <v>617</v>
      </c>
      <c r="B138" s="65" t="s">
        <v>618</v>
      </c>
      <c r="C138" s="65" t="s">
        <v>388</v>
      </c>
      <c r="D138" s="66">
        <v>37738</v>
      </c>
      <c r="E138" s="65" t="s">
        <v>1727</v>
      </c>
      <c r="F138" s="65" t="s">
        <v>246</v>
      </c>
      <c r="G138" s="65" t="s">
        <v>257</v>
      </c>
      <c r="H138" s="67">
        <v>18800</v>
      </c>
    </row>
    <row r="139" spans="1:8" ht="14.25" customHeight="1" x14ac:dyDescent="0.3">
      <c r="A139" s="65" t="s">
        <v>619</v>
      </c>
      <c r="B139" s="65" t="s">
        <v>250</v>
      </c>
      <c r="C139" s="65" t="s">
        <v>620</v>
      </c>
      <c r="D139" s="66">
        <v>37751</v>
      </c>
      <c r="E139" s="65" t="s">
        <v>1723</v>
      </c>
      <c r="F139" s="65" t="s">
        <v>246</v>
      </c>
      <c r="G139" s="65" t="s">
        <v>367</v>
      </c>
      <c r="H139" s="67">
        <v>19800</v>
      </c>
    </row>
    <row r="140" spans="1:8" ht="14.25" customHeight="1" x14ac:dyDescent="0.3">
      <c r="A140" s="65" t="s">
        <v>621</v>
      </c>
      <c r="B140" s="65" t="s">
        <v>622</v>
      </c>
      <c r="C140" s="65" t="s">
        <v>623</v>
      </c>
      <c r="D140" s="66">
        <v>37764</v>
      </c>
      <c r="E140" s="65" t="s">
        <v>1723</v>
      </c>
      <c r="F140" s="65" t="s">
        <v>246</v>
      </c>
      <c r="G140" s="65" t="s">
        <v>367</v>
      </c>
      <c r="H140" s="67">
        <v>19000</v>
      </c>
    </row>
    <row r="141" spans="1:8" ht="14.25" customHeight="1" x14ac:dyDescent="0.3">
      <c r="A141" s="65" t="s">
        <v>624</v>
      </c>
      <c r="B141" s="65" t="s">
        <v>625</v>
      </c>
      <c r="C141" s="65" t="s">
        <v>626</v>
      </c>
      <c r="D141" s="66">
        <v>37777</v>
      </c>
      <c r="E141" s="65" t="s">
        <v>234</v>
      </c>
      <c r="F141" s="65" t="s">
        <v>236</v>
      </c>
      <c r="G141" s="65" t="s">
        <v>296</v>
      </c>
      <c r="H141" s="67">
        <v>20000</v>
      </c>
    </row>
    <row r="142" spans="1:8" ht="14.25" customHeight="1" x14ac:dyDescent="0.3">
      <c r="A142" s="65" t="s">
        <v>627</v>
      </c>
      <c r="B142" s="65" t="s">
        <v>628</v>
      </c>
      <c r="C142" s="65" t="s">
        <v>316</v>
      </c>
      <c r="D142" s="66">
        <v>37790</v>
      </c>
      <c r="E142" s="65" t="s">
        <v>1723</v>
      </c>
      <c r="F142" s="65" t="s">
        <v>246</v>
      </c>
      <c r="G142" s="65" t="s">
        <v>317</v>
      </c>
      <c r="H142" s="67">
        <v>19200</v>
      </c>
    </row>
    <row r="143" spans="1:8" ht="14.25" customHeight="1" x14ac:dyDescent="0.3">
      <c r="A143" s="65" t="s">
        <v>629</v>
      </c>
      <c r="B143" s="65" t="s">
        <v>630</v>
      </c>
      <c r="C143" s="65" t="s">
        <v>363</v>
      </c>
      <c r="D143" s="66">
        <v>37803</v>
      </c>
      <c r="E143" s="65" t="s">
        <v>1725</v>
      </c>
      <c r="F143" s="65" t="s">
        <v>270</v>
      </c>
      <c r="G143" s="65" t="s">
        <v>296</v>
      </c>
      <c r="H143" s="67">
        <v>20200</v>
      </c>
    </row>
    <row r="144" spans="1:8" ht="14.25" customHeight="1" x14ac:dyDescent="0.3">
      <c r="A144" s="65" t="s">
        <v>631</v>
      </c>
      <c r="B144" s="65" t="s">
        <v>632</v>
      </c>
      <c r="C144" s="65" t="s">
        <v>433</v>
      </c>
      <c r="D144" s="66">
        <v>37816</v>
      </c>
      <c r="E144" s="65" t="s">
        <v>1723</v>
      </c>
      <c r="F144" s="65" t="s">
        <v>246</v>
      </c>
      <c r="G144" s="65" t="s">
        <v>317</v>
      </c>
      <c r="H144" s="67">
        <v>19400</v>
      </c>
    </row>
    <row r="145" spans="1:8" ht="14.25" customHeight="1" x14ac:dyDescent="0.3">
      <c r="A145" s="65" t="s">
        <v>633</v>
      </c>
      <c r="B145" s="65" t="s">
        <v>634</v>
      </c>
      <c r="C145" s="65" t="s">
        <v>635</v>
      </c>
      <c r="D145" s="66">
        <v>37829</v>
      </c>
      <c r="E145" s="65" t="s">
        <v>1725</v>
      </c>
      <c r="F145" s="65" t="s">
        <v>270</v>
      </c>
      <c r="G145" s="65" t="s">
        <v>367</v>
      </c>
      <c r="H145" s="67">
        <v>20400</v>
      </c>
    </row>
    <row r="146" spans="1:8" ht="14.25" customHeight="1" x14ac:dyDescent="0.3">
      <c r="A146" s="65" t="s">
        <v>636</v>
      </c>
      <c r="B146" s="65" t="s">
        <v>244</v>
      </c>
      <c r="C146" s="65" t="s">
        <v>305</v>
      </c>
      <c r="D146" s="66">
        <v>37842</v>
      </c>
      <c r="E146" s="65" t="s">
        <v>1725</v>
      </c>
      <c r="F146" s="65" t="s">
        <v>270</v>
      </c>
      <c r="G146" s="65" t="s">
        <v>300</v>
      </c>
      <c r="H146" s="67">
        <v>19600</v>
      </c>
    </row>
    <row r="147" spans="1:8" ht="14.25" customHeight="1" x14ac:dyDescent="0.3">
      <c r="A147" s="65" t="s">
        <v>637</v>
      </c>
      <c r="B147" s="65" t="s">
        <v>250</v>
      </c>
      <c r="C147" s="65" t="s">
        <v>638</v>
      </c>
      <c r="D147" s="66">
        <v>37855</v>
      </c>
      <c r="E147" s="65" t="s">
        <v>1725</v>
      </c>
      <c r="F147" s="65" t="s">
        <v>270</v>
      </c>
      <c r="G147" s="65" t="s">
        <v>332</v>
      </c>
      <c r="H147" s="67">
        <v>20600</v>
      </c>
    </row>
    <row r="148" spans="1:8" ht="14.25" customHeight="1" x14ac:dyDescent="0.3">
      <c r="A148" s="65" t="s">
        <v>639</v>
      </c>
      <c r="B148" s="65" t="s">
        <v>255</v>
      </c>
      <c r="C148" s="65" t="s">
        <v>640</v>
      </c>
      <c r="D148" s="66">
        <v>37868</v>
      </c>
      <c r="E148" s="65" t="s">
        <v>1730</v>
      </c>
      <c r="F148" s="65" t="s">
        <v>237</v>
      </c>
      <c r="G148" s="65" t="s">
        <v>367</v>
      </c>
      <c r="H148" s="67">
        <v>19800</v>
      </c>
    </row>
    <row r="149" spans="1:8" ht="14.25" customHeight="1" x14ac:dyDescent="0.3">
      <c r="A149" s="65" t="s">
        <v>641</v>
      </c>
      <c r="B149" s="65" t="s">
        <v>260</v>
      </c>
      <c r="C149" s="65" t="s">
        <v>305</v>
      </c>
      <c r="D149" s="66">
        <v>37881</v>
      </c>
      <c r="E149" s="65" t="s">
        <v>1725</v>
      </c>
      <c r="F149" s="65" t="s">
        <v>270</v>
      </c>
      <c r="G149" s="65" t="s">
        <v>300</v>
      </c>
      <c r="H149" s="67">
        <v>20800</v>
      </c>
    </row>
    <row r="150" spans="1:8" ht="14.25" customHeight="1" x14ac:dyDescent="0.3">
      <c r="A150" s="65" t="s">
        <v>642</v>
      </c>
      <c r="B150" s="65" t="s">
        <v>264</v>
      </c>
      <c r="C150" s="65" t="s">
        <v>643</v>
      </c>
      <c r="D150" s="66">
        <v>37894</v>
      </c>
      <c r="E150" s="65" t="s">
        <v>1727</v>
      </c>
      <c r="F150" s="65" t="s">
        <v>246</v>
      </c>
      <c r="G150" s="65" t="s">
        <v>367</v>
      </c>
      <c r="H150" s="67">
        <v>20000</v>
      </c>
    </row>
    <row r="151" spans="1:8" ht="14.25" customHeight="1" x14ac:dyDescent="0.3">
      <c r="A151" s="65" t="s">
        <v>644</v>
      </c>
      <c r="B151" s="65" t="s">
        <v>268</v>
      </c>
      <c r="C151" s="65" t="s">
        <v>288</v>
      </c>
      <c r="D151" s="66">
        <v>37907</v>
      </c>
      <c r="E151" s="65" t="s">
        <v>1727</v>
      </c>
      <c r="F151" s="65" t="s">
        <v>246</v>
      </c>
      <c r="G151" s="65" t="s">
        <v>257</v>
      </c>
      <c r="H151" s="67">
        <v>21000</v>
      </c>
    </row>
    <row r="152" spans="1:8" ht="14.25" customHeight="1" x14ac:dyDescent="0.3">
      <c r="A152" s="65" t="s">
        <v>645</v>
      </c>
      <c r="B152" s="65" t="s">
        <v>646</v>
      </c>
      <c r="C152" s="65" t="s">
        <v>351</v>
      </c>
      <c r="D152" s="66">
        <v>37920</v>
      </c>
      <c r="E152" s="65" t="s">
        <v>1723</v>
      </c>
      <c r="F152" s="65" t="s">
        <v>246</v>
      </c>
      <c r="G152" s="65" t="s">
        <v>332</v>
      </c>
      <c r="H152" s="67">
        <v>20200</v>
      </c>
    </row>
    <row r="153" spans="1:8" ht="14.25" customHeight="1" x14ac:dyDescent="0.3">
      <c r="A153" s="65" t="s">
        <v>647</v>
      </c>
      <c r="B153" s="65" t="s">
        <v>278</v>
      </c>
      <c r="C153" s="65" t="s">
        <v>623</v>
      </c>
      <c r="D153" s="66">
        <v>37933</v>
      </c>
      <c r="E153" s="65" t="s">
        <v>1723</v>
      </c>
      <c r="F153" s="65" t="s">
        <v>246</v>
      </c>
      <c r="G153" s="65" t="s">
        <v>367</v>
      </c>
      <c r="H153" s="67">
        <v>21200</v>
      </c>
    </row>
    <row r="154" spans="1:8" ht="14.25" customHeight="1" x14ac:dyDescent="0.3">
      <c r="A154" s="65" t="s">
        <v>648</v>
      </c>
      <c r="B154" s="65" t="s">
        <v>282</v>
      </c>
      <c r="C154" s="65" t="s">
        <v>288</v>
      </c>
      <c r="D154" s="66">
        <v>37946</v>
      </c>
      <c r="E154" s="65" t="s">
        <v>1723</v>
      </c>
      <c r="F154" s="65" t="s">
        <v>246</v>
      </c>
      <c r="G154" s="65" t="s">
        <v>257</v>
      </c>
      <c r="H154" s="67">
        <v>20400</v>
      </c>
    </row>
    <row r="155" spans="1:8" ht="14.25" customHeight="1" x14ac:dyDescent="0.3">
      <c r="A155" s="65" t="s">
        <v>649</v>
      </c>
      <c r="B155" s="65" t="s">
        <v>287</v>
      </c>
      <c r="C155" s="65" t="s">
        <v>349</v>
      </c>
      <c r="D155" s="66">
        <v>37959</v>
      </c>
      <c r="E155" s="65" t="s">
        <v>234</v>
      </c>
      <c r="F155" s="65" t="s">
        <v>236</v>
      </c>
      <c r="G155" s="65" t="s">
        <v>332</v>
      </c>
      <c r="H155" s="67">
        <v>21400</v>
      </c>
    </row>
    <row r="156" spans="1:8" ht="14.25" customHeight="1" x14ac:dyDescent="0.3">
      <c r="A156" s="65" t="s">
        <v>650</v>
      </c>
      <c r="B156" s="65" t="s">
        <v>290</v>
      </c>
      <c r="C156" s="65" t="s">
        <v>651</v>
      </c>
      <c r="D156" s="66">
        <v>37972</v>
      </c>
      <c r="E156" s="65" t="s">
        <v>1725</v>
      </c>
      <c r="F156" s="65" t="s">
        <v>270</v>
      </c>
      <c r="G156" s="65" t="s">
        <v>501</v>
      </c>
      <c r="H156" s="67">
        <v>20600</v>
      </c>
    </row>
    <row r="157" spans="1:8" ht="14.25" customHeight="1" x14ac:dyDescent="0.3">
      <c r="A157" s="65" t="s">
        <v>652</v>
      </c>
      <c r="B157" s="65" t="s">
        <v>294</v>
      </c>
      <c r="C157" s="65" t="s">
        <v>335</v>
      </c>
      <c r="D157" s="66">
        <v>37985</v>
      </c>
      <c r="E157" s="65" t="s">
        <v>1723</v>
      </c>
      <c r="F157" s="65" t="s">
        <v>246</v>
      </c>
      <c r="G157" s="65" t="s">
        <v>252</v>
      </c>
      <c r="H157" s="67">
        <v>21600</v>
      </c>
    </row>
    <row r="158" spans="1:8" ht="14.25" customHeight="1" x14ac:dyDescent="0.3">
      <c r="A158" s="65" t="s">
        <v>653</v>
      </c>
      <c r="B158" s="65" t="s">
        <v>654</v>
      </c>
      <c r="C158" s="65" t="s">
        <v>441</v>
      </c>
      <c r="D158" s="66">
        <v>37998</v>
      </c>
      <c r="E158" s="65" t="s">
        <v>1725</v>
      </c>
      <c r="F158" s="65" t="s">
        <v>270</v>
      </c>
      <c r="G158" s="65" t="s">
        <v>257</v>
      </c>
      <c r="H158" s="67">
        <v>20800</v>
      </c>
    </row>
    <row r="159" spans="1:8" ht="14.25" customHeight="1" x14ac:dyDescent="0.3">
      <c r="A159" s="65" t="s">
        <v>655</v>
      </c>
      <c r="B159" s="65" t="s">
        <v>302</v>
      </c>
      <c r="C159" s="65" t="s">
        <v>656</v>
      </c>
      <c r="D159" s="66">
        <v>38011</v>
      </c>
      <c r="E159" s="65" t="s">
        <v>1723</v>
      </c>
      <c r="F159" s="65" t="s">
        <v>246</v>
      </c>
      <c r="G159" s="65" t="s">
        <v>285</v>
      </c>
      <c r="H159" s="67">
        <v>21800</v>
      </c>
    </row>
    <row r="160" spans="1:8" ht="14.25" customHeight="1" x14ac:dyDescent="0.3">
      <c r="A160" s="65" t="s">
        <v>657</v>
      </c>
      <c r="B160" s="65" t="s">
        <v>304</v>
      </c>
      <c r="C160" s="65" t="s">
        <v>626</v>
      </c>
      <c r="D160" s="66">
        <v>38024</v>
      </c>
      <c r="E160" s="65" t="s">
        <v>1723</v>
      </c>
      <c r="F160" s="65" t="s">
        <v>246</v>
      </c>
      <c r="G160" s="65" t="s">
        <v>296</v>
      </c>
      <c r="H160" s="67">
        <v>21000</v>
      </c>
    </row>
    <row r="161" spans="1:8" ht="14.25" customHeight="1" x14ac:dyDescent="0.3">
      <c r="A161" s="65" t="s">
        <v>658</v>
      </c>
      <c r="B161" s="65" t="s">
        <v>308</v>
      </c>
      <c r="C161" s="65" t="s">
        <v>357</v>
      </c>
      <c r="D161" s="66">
        <v>38037</v>
      </c>
      <c r="E161" s="65" t="s">
        <v>1729</v>
      </c>
      <c r="F161" s="65" t="s">
        <v>377</v>
      </c>
      <c r="G161" s="65" t="s">
        <v>257</v>
      </c>
      <c r="H161" s="67">
        <v>22000</v>
      </c>
    </row>
    <row r="162" spans="1:8" ht="14.25" customHeight="1" x14ac:dyDescent="0.3">
      <c r="A162" s="65" t="s">
        <v>659</v>
      </c>
      <c r="B162" s="65" t="s">
        <v>660</v>
      </c>
      <c r="C162" s="65" t="s">
        <v>626</v>
      </c>
      <c r="D162" s="66">
        <v>38050</v>
      </c>
      <c r="E162" s="65" t="s">
        <v>1730</v>
      </c>
      <c r="F162" s="65" t="s">
        <v>237</v>
      </c>
      <c r="G162" s="65" t="s">
        <v>296</v>
      </c>
      <c r="H162" s="67">
        <v>21200</v>
      </c>
    </row>
    <row r="163" spans="1:8" ht="14.25" customHeight="1" x14ac:dyDescent="0.3">
      <c r="A163" s="65" t="s">
        <v>661</v>
      </c>
      <c r="B163" s="65" t="s">
        <v>662</v>
      </c>
      <c r="C163" s="65" t="s">
        <v>663</v>
      </c>
      <c r="D163" s="66">
        <v>38063</v>
      </c>
      <c r="E163" s="65" t="s">
        <v>1725</v>
      </c>
      <c r="F163" s="65" t="s">
        <v>270</v>
      </c>
      <c r="G163" s="65" t="s">
        <v>332</v>
      </c>
      <c r="H163" s="67">
        <v>22200</v>
      </c>
    </row>
    <row r="164" spans="1:8" ht="14.25" customHeight="1" x14ac:dyDescent="0.3">
      <c r="A164" s="65" t="s">
        <v>664</v>
      </c>
      <c r="B164" s="65" t="s">
        <v>287</v>
      </c>
      <c r="C164" s="65" t="s">
        <v>665</v>
      </c>
      <c r="D164" s="66">
        <v>38076</v>
      </c>
      <c r="E164" s="65" t="s">
        <v>1723</v>
      </c>
      <c r="F164" s="65" t="s">
        <v>246</v>
      </c>
      <c r="G164" s="65" t="s">
        <v>257</v>
      </c>
      <c r="H164" s="67">
        <v>21400</v>
      </c>
    </row>
    <row r="165" spans="1:8" ht="14.25" customHeight="1" x14ac:dyDescent="0.3">
      <c r="A165" s="65" t="s">
        <v>666</v>
      </c>
      <c r="B165" s="65" t="s">
        <v>322</v>
      </c>
      <c r="C165" s="65" t="s">
        <v>265</v>
      </c>
      <c r="D165" s="66">
        <v>38089</v>
      </c>
      <c r="E165" s="65" t="s">
        <v>1725</v>
      </c>
      <c r="F165" s="65" t="s">
        <v>270</v>
      </c>
      <c r="G165" s="65" t="s">
        <v>257</v>
      </c>
      <c r="H165" s="67">
        <v>22400</v>
      </c>
    </row>
    <row r="166" spans="1:8" ht="14.25" customHeight="1" x14ac:dyDescent="0.3">
      <c r="A166" s="65" t="s">
        <v>667</v>
      </c>
      <c r="B166" s="65" t="s">
        <v>325</v>
      </c>
      <c r="C166" s="65" t="s">
        <v>295</v>
      </c>
      <c r="D166" s="66">
        <v>38102</v>
      </c>
      <c r="E166" s="65" t="s">
        <v>1725</v>
      </c>
      <c r="F166" s="65" t="s">
        <v>270</v>
      </c>
      <c r="G166" s="65" t="s">
        <v>296</v>
      </c>
      <c r="H166" s="67">
        <v>21600</v>
      </c>
    </row>
    <row r="167" spans="1:8" ht="14.25" customHeight="1" x14ac:dyDescent="0.3">
      <c r="A167" s="65" t="s">
        <v>668</v>
      </c>
      <c r="B167" s="65" t="s">
        <v>669</v>
      </c>
      <c r="C167" s="65" t="s">
        <v>452</v>
      </c>
      <c r="D167" s="66">
        <v>38115</v>
      </c>
      <c r="E167" s="65" t="s">
        <v>1725</v>
      </c>
      <c r="F167" s="65" t="s">
        <v>270</v>
      </c>
      <c r="G167" s="65" t="s">
        <v>252</v>
      </c>
      <c r="H167" s="67">
        <v>22600</v>
      </c>
    </row>
    <row r="168" spans="1:8" ht="14.25" customHeight="1" x14ac:dyDescent="0.3">
      <c r="A168" s="65" t="s">
        <v>670</v>
      </c>
      <c r="B168" s="65" t="s">
        <v>330</v>
      </c>
      <c r="C168" s="65" t="s">
        <v>671</v>
      </c>
      <c r="D168" s="66">
        <v>38128</v>
      </c>
      <c r="E168" s="65" t="s">
        <v>1725</v>
      </c>
      <c r="F168" s="65" t="s">
        <v>270</v>
      </c>
      <c r="G168" s="65" t="s">
        <v>252</v>
      </c>
      <c r="H168" s="67">
        <v>21800</v>
      </c>
    </row>
    <row r="169" spans="1:8" ht="14.25" customHeight="1" x14ac:dyDescent="0.3">
      <c r="A169" s="65" t="s">
        <v>672</v>
      </c>
      <c r="B169" s="65" t="s">
        <v>334</v>
      </c>
      <c r="C169" s="65" t="s">
        <v>673</v>
      </c>
      <c r="D169" s="66">
        <v>38141</v>
      </c>
      <c r="E169" s="65" t="s">
        <v>1723</v>
      </c>
      <c r="F169" s="65" t="s">
        <v>246</v>
      </c>
      <c r="G169" s="65" t="s">
        <v>313</v>
      </c>
      <c r="H169" s="67">
        <v>22800</v>
      </c>
    </row>
    <row r="170" spans="1:8" ht="14.25" customHeight="1" x14ac:dyDescent="0.3">
      <c r="A170" s="65" t="s">
        <v>674</v>
      </c>
      <c r="B170" s="65" t="s">
        <v>337</v>
      </c>
      <c r="C170" s="65" t="s">
        <v>528</v>
      </c>
      <c r="D170" s="66">
        <v>38154</v>
      </c>
      <c r="E170" s="65" t="s">
        <v>1725</v>
      </c>
      <c r="F170" s="65" t="s">
        <v>270</v>
      </c>
      <c r="G170" s="65" t="s">
        <v>257</v>
      </c>
      <c r="H170" s="67">
        <v>22000</v>
      </c>
    </row>
    <row r="171" spans="1:8" ht="14.25" customHeight="1" x14ac:dyDescent="0.3">
      <c r="A171" s="65" t="s">
        <v>675</v>
      </c>
      <c r="B171" s="65" t="s">
        <v>341</v>
      </c>
      <c r="C171" s="65" t="s">
        <v>528</v>
      </c>
      <c r="D171" s="66">
        <v>38167</v>
      </c>
      <c r="E171" s="65" t="s">
        <v>1725</v>
      </c>
      <c r="F171" s="65" t="s">
        <v>270</v>
      </c>
      <c r="G171" s="65" t="s">
        <v>257</v>
      </c>
      <c r="H171" s="67">
        <v>23000</v>
      </c>
    </row>
    <row r="172" spans="1:8" ht="14.25" customHeight="1" x14ac:dyDescent="0.3">
      <c r="A172" s="65" t="s">
        <v>676</v>
      </c>
      <c r="B172" s="65" t="s">
        <v>287</v>
      </c>
      <c r="C172" s="65" t="s">
        <v>466</v>
      </c>
      <c r="D172" s="66">
        <v>38180</v>
      </c>
      <c r="E172" s="65" t="s">
        <v>1723</v>
      </c>
      <c r="F172" s="65" t="s">
        <v>246</v>
      </c>
      <c r="G172" s="65" t="s">
        <v>300</v>
      </c>
      <c r="H172" s="67">
        <v>22200</v>
      </c>
    </row>
    <row r="173" spans="1:8" ht="14.25" customHeight="1" x14ac:dyDescent="0.3">
      <c r="A173" s="65" t="s">
        <v>677</v>
      </c>
      <c r="B173" s="65" t="s">
        <v>346</v>
      </c>
      <c r="C173" s="65" t="s">
        <v>678</v>
      </c>
      <c r="D173" s="66">
        <v>38193</v>
      </c>
      <c r="E173" s="65" t="s">
        <v>1725</v>
      </c>
      <c r="F173" s="65" t="s">
        <v>270</v>
      </c>
      <c r="G173" s="65" t="s">
        <v>257</v>
      </c>
      <c r="H173" s="67">
        <v>23200</v>
      </c>
    </row>
    <row r="174" spans="1:8" ht="14.25" customHeight="1" x14ac:dyDescent="0.3">
      <c r="A174" s="65" t="s">
        <v>679</v>
      </c>
      <c r="B174" s="65" t="s">
        <v>348</v>
      </c>
      <c r="C174" s="65" t="s">
        <v>680</v>
      </c>
      <c r="D174" s="66">
        <v>38206</v>
      </c>
      <c r="E174" s="65" t="s">
        <v>1725</v>
      </c>
      <c r="F174" s="65" t="s">
        <v>270</v>
      </c>
      <c r="G174" s="65" t="s">
        <v>252</v>
      </c>
      <c r="H174" s="67">
        <v>22400</v>
      </c>
    </row>
    <row r="175" spans="1:8" ht="14.25" customHeight="1" x14ac:dyDescent="0.3">
      <c r="A175" s="65" t="s">
        <v>681</v>
      </c>
      <c r="B175" s="65" t="s">
        <v>350</v>
      </c>
      <c r="C175" s="65" t="s">
        <v>288</v>
      </c>
      <c r="D175" s="66">
        <v>38219</v>
      </c>
      <c r="E175" s="65" t="s">
        <v>1725</v>
      </c>
      <c r="F175" s="65" t="s">
        <v>270</v>
      </c>
      <c r="G175" s="65" t="s">
        <v>257</v>
      </c>
      <c r="H175" s="67">
        <v>23400</v>
      </c>
    </row>
    <row r="176" spans="1:8" ht="14.25" customHeight="1" x14ac:dyDescent="0.3">
      <c r="A176" s="65" t="s">
        <v>682</v>
      </c>
      <c r="B176" s="65" t="s">
        <v>353</v>
      </c>
      <c r="C176" s="65" t="s">
        <v>319</v>
      </c>
      <c r="D176" s="66">
        <v>38232</v>
      </c>
      <c r="E176" s="65" t="s">
        <v>1725</v>
      </c>
      <c r="F176" s="65" t="s">
        <v>270</v>
      </c>
      <c r="G176" s="65" t="s">
        <v>257</v>
      </c>
      <c r="H176" s="67">
        <v>22600</v>
      </c>
    </row>
    <row r="177" spans="1:8" ht="14.25" customHeight="1" x14ac:dyDescent="0.3">
      <c r="A177" s="65" t="s">
        <v>683</v>
      </c>
      <c r="B177" s="65" t="s">
        <v>356</v>
      </c>
      <c r="C177" s="65" t="s">
        <v>279</v>
      </c>
      <c r="D177" s="66">
        <v>38245</v>
      </c>
      <c r="E177" s="65" t="s">
        <v>1725</v>
      </c>
      <c r="F177" s="65" t="s">
        <v>270</v>
      </c>
      <c r="G177" s="65" t="s">
        <v>257</v>
      </c>
      <c r="H177" s="67">
        <v>23600</v>
      </c>
    </row>
    <row r="178" spans="1:8" ht="14.25" customHeight="1" x14ac:dyDescent="0.3">
      <c r="A178" s="65" t="s">
        <v>684</v>
      </c>
      <c r="B178" s="65" t="s">
        <v>359</v>
      </c>
      <c r="C178" s="65" t="s">
        <v>685</v>
      </c>
      <c r="D178" s="66">
        <v>38258</v>
      </c>
      <c r="E178" s="65" t="s">
        <v>1725</v>
      </c>
      <c r="F178" s="65" t="s">
        <v>270</v>
      </c>
      <c r="G178" s="65" t="s">
        <v>339</v>
      </c>
      <c r="H178" s="67">
        <v>22800</v>
      </c>
    </row>
    <row r="179" spans="1:8" ht="14.25" customHeight="1" x14ac:dyDescent="0.3">
      <c r="A179" s="65" t="s">
        <v>686</v>
      </c>
      <c r="B179" s="65" t="s">
        <v>362</v>
      </c>
      <c r="C179" s="65" t="s">
        <v>357</v>
      </c>
      <c r="D179" s="66">
        <v>38271</v>
      </c>
      <c r="E179" s="65" t="s">
        <v>1726</v>
      </c>
      <c r="F179" s="65" t="s">
        <v>284</v>
      </c>
      <c r="G179" s="65" t="s">
        <v>257</v>
      </c>
      <c r="H179" s="67">
        <v>23800</v>
      </c>
    </row>
    <row r="180" spans="1:8" ht="14.25" customHeight="1" x14ac:dyDescent="0.3">
      <c r="A180" s="65" t="s">
        <v>687</v>
      </c>
      <c r="B180" s="65" t="s">
        <v>365</v>
      </c>
      <c r="C180" s="65" t="s">
        <v>479</v>
      </c>
      <c r="D180" s="66">
        <v>38284</v>
      </c>
      <c r="E180" s="65" t="s">
        <v>1725</v>
      </c>
      <c r="F180" s="65" t="s">
        <v>270</v>
      </c>
      <c r="G180" s="65" t="s">
        <v>332</v>
      </c>
      <c r="H180" s="67">
        <v>23000</v>
      </c>
    </row>
    <row r="181" spans="1:8" ht="14.25" customHeight="1" x14ac:dyDescent="0.3">
      <c r="A181" s="65" t="s">
        <v>688</v>
      </c>
      <c r="B181" s="65" t="s">
        <v>287</v>
      </c>
      <c r="C181" s="65" t="s">
        <v>689</v>
      </c>
      <c r="D181" s="66">
        <v>38297</v>
      </c>
      <c r="E181" s="65" t="s">
        <v>1725</v>
      </c>
      <c r="F181" s="65" t="s">
        <v>270</v>
      </c>
      <c r="G181" s="65" t="s">
        <v>332</v>
      </c>
      <c r="H181" s="67">
        <v>24000</v>
      </c>
    </row>
    <row r="182" spans="1:8" ht="14.25" customHeight="1" x14ac:dyDescent="0.3">
      <c r="A182" s="65" t="s">
        <v>690</v>
      </c>
      <c r="B182" s="65" t="s">
        <v>368</v>
      </c>
      <c r="C182" s="65" t="s">
        <v>691</v>
      </c>
      <c r="D182" s="66">
        <v>38310</v>
      </c>
      <c r="E182" s="65" t="s">
        <v>1725</v>
      </c>
      <c r="F182" s="65" t="s">
        <v>270</v>
      </c>
      <c r="G182" s="65" t="s">
        <v>271</v>
      </c>
      <c r="H182" s="67">
        <v>23200</v>
      </c>
    </row>
    <row r="183" spans="1:8" ht="14.25" customHeight="1" x14ac:dyDescent="0.3">
      <c r="A183" s="65" t="s">
        <v>692</v>
      </c>
      <c r="B183" s="65" t="s">
        <v>370</v>
      </c>
      <c r="C183" s="65" t="s">
        <v>693</v>
      </c>
      <c r="D183" s="66">
        <v>38323</v>
      </c>
      <c r="E183" s="65" t="s">
        <v>1727</v>
      </c>
      <c r="F183" s="65" t="s">
        <v>246</v>
      </c>
      <c r="G183" s="65" t="s">
        <v>367</v>
      </c>
      <c r="H183" s="67">
        <v>24200</v>
      </c>
    </row>
    <row r="184" spans="1:8" ht="14.25" customHeight="1" x14ac:dyDescent="0.3">
      <c r="A184" s="65" t="s">
        <v>694</v>
      </c>
      <c r="B184" s="65" t="s">
        <v>373</v>
      </c>
      <c r="C184" s="65" t="s">
        <v>695</v>
      </c>
      <c r="D184" s="66">
        <v>38336</v>
      </c>
      <c r="E184" s="65" t="s">
        <v>1725</v>
      </c>
      <c r="F184" s="65" t="s">
        <v>270</v>
      </c>
      <c r="G184" s="65" t="s">
        <v>332</v>
      </c>
      <c r="H184" s="67">
        <v>23400</v>
      </c>
    </row>
    <row r="185" spans="1:8" ht="14.25" customHeight="1" x14ac:dyDescent="0.3">
      <c r="A185" s="65" t="s">
        <v>696</v>
      </c>
      <c r="B185" s="65" t="s">
        <v>375</v>
      </c>
      <c r="C185" s="65" t="s">
        <v>697</v>
      </c>
      <c r="D185" s="66">
        <v>38349</v>
      </c>
      <c r="E185" s="65" t="s">
        <v>1725</v>
      </c>
      <c r="F185" s="65" t="s">
        <v>270</v>
      </c>
      <c r="G185" s="65" t="s">
        <v>313</v>
      </c>
      <c r="H185" s="67">
        <v>24400</v>
      </c>
    </row>
    <row r="186" spans="1:8" ht="14.25" customHeight="1" x14ac:dyDescent="0.3">
      <c r="A186" s="65" t="s">
        <v>698</v>
      </c>
      <c r="B186" s="65" t="s">
        <v>380</v>
      </c>
      <c r="C186" s="65" t="s">
        <v>697</v>
      </c>
      <c r="D186" s="66">
        <v>38362</v>
      </c>
      <c r="E186" s="65" t="s">
        <v>1723</v>
      </c>
      <c r="F186" s="65" t="s">
        <v>246</v>
      </c>
      <c r="G186" s="65" t="s">
        <v>313</v>
      </c>
      <c r="H186" s="67">
        <v>23600</v>
      </c>
    </row>
    <row r="187" spans="1:8" ht="14.25" customHeight="1" x14ac:dyDescent="0.3">
      <c r="A187" s="65" t="s">
        <v>699</v>
      </c>
      <c r="B187" s="65" t="s">
        <v>382</v>
      </c>
      <c r="C187" s="65" t="s">
        <v>279</v>
      </c>
      <c r="D187" s="66">
        <v>38375</v>
      </c>
      <c r="E187" s="65" t="s">
        <v>1725</v>
      </c>
      <c r="F187" s="65" t="s">
        <v>270</v>
      </c>
      <c r="G187" s="65" t="s">
        <v>257</v>
      </c>
      <c r="H187" s="67">
        <v>24600</v>
      </c>
    </row>
    <row r="188" spans="1:8" ht="14.25" customHeight="1" x14ac:dyDescent="0.3">
      <c r="A188" s="65" t="s">
        <v>700</v>
      </c>
      <c r="B188" s="65" t="s">
        <v>287</v>
      </c>
      <c r="C188" s="65" t="s">
        <v>611</v>
      </c>
      <c r="D188" s="66">
        <v>38388</v>
      </c>
      <c r="E188" s="65" t="s">
        <v>1725</v>
      </c>
      <c r="F188" s="65" t="s">
        <v>270</v>
      </c>
      <c r="G188" s="65" t="s">
        <v>257</v>
      </c>
      <c r="H188" s="67">
        <v>23800</v>
      </c>
    </row>
    <row r="189" spans="1:8" ht="14.25" customHeight="1" x14ac:dyDescent="0.3">
      <c r="A189" s="65" t="s">
        <v>701</v>
      </c>
      <c r="B189" s="65" t="s">
        <v>387</v>
      </c>
      <c r="C189" s="65" t="s">
        <v>351</v>
      </c>
      <c r="D189" s="66">
        <v>38401</v>
      </c>
      <c r="E189" s="65" t="s">
        <v>1725</v>
      </c>
      <c r="F189" s="65" t="s">
        <v>270</v>
      </c>
      <c r="G189" s="65" t="s">
        <v>332</v>
      </c>
      <c r="H189" s="67">
        <v>24800</v>
      </c>
    </row>
    <row r="190" spans="1:8" ht="14.25" customHeight="1" x14ac:dyDescent="0.3">
      <c r="A190" s="65" t="s">
        <v>702</v>
      </c>
      <c r="B190" s="65" t="s">
        <v>703</v>
      </c>
      <c r="C190" s="65" t="s">
        <v>351</v>
      </c>
      <c r="D190" s="66">
        <v>38414</v>
      </c>
      <c r="E190" s="65" t="s">
        <v>1725</v>
      </c>
      <c r="F190" s="65" t="s">
        <v>270</v>
      </c>
      <c r="G190" s="65" t="s">
        <v>332</v>
      </c>
      <c r="H190" s="67">
        <v>24000</v>
      </c>
    </row>
    <row r="191" spans="1:8" ht="14.25" customHeight="1" x14ac:dyDescent="0.3">
      <c r="A191" s="65" t="s">
        <v>704</v>
      </c>
      <c r="B191" s="65" t="s">
        <v>705</v>
      </c>
      <c r="C191" s="65" t="s">
        <v>514</v>
      </c>
      <c r="D191" s="66">
        <v>38427</v>
      </c>
      <c r="E191" s="65" t="s">
        <v>1725</v>
      </c>
      <c r="F191" s="65" t="s">
        <v>270</v>
      </c>
      <c r="G191" s="65" t="s">
        <v>257</v>
      </c>
      <c r="H191" s="67">
        <v>25000</v>
      </c>
    </row>
    <row r="192" spans="1:8" ht="14.25" customHeight="1" x14ac:dyDescent="0.3">
      <c r="A192" s="65" t="s">
        <v>706</v>
      </c>
      <c r="B192" s="65" t="s">
        <v>707</v>
      </c>
      <c r="C192" s="65" t="s">
        <v>466</v>
      </c>
      <c r="D192" s="66">
        <v>38440</v>
      </c>
      <c r="E192" s="65" t="s">
        <v>1725</v>
      </c>
      <c r="F192" s="65" t="s">
        <v>270</v>
      </c>
      <c r="G192" s="65" t="s">
        <v>300</v>
      </c>
      <c r="H192" s="67">
        <v>24200</v>
      </c>
    </row>
    <row r="193" spans="1:8" ht="14.25" customHeight="1" x14ac:dyDescent="0.3">
      <c r="A193" s="65" t="s">
        <v>708</v>
      </c>
      <c r="B193" s="65" t="s">
        <v>709</v>
      </c>
      <c r="C193" s="65" t="s">
        <v>710</v>
      </c>
      <c r="D193" s="66">
        <v>38453</v>
      </c>
      <c r="E193" s="65" t="s">
        <v>1732</v>
      </c>
      <c r="F193" s="65" t="s">
        <v>306</v>
      </c>
      <c r="G193" s="65" t="s">
        <v>501</v>
      </c>
      <c r="H193" s="67">
        <v>25200</v>
      </c>
    </row>
    <row r="194" spans="1:8" ht="14.25" customHeight="1" x14ac:dyDescent="0.3">
      <c r="A194" s="65" t="s">
        <v>711</v>
      </c>
      <c r="B194" s="65" t="s">
        <v>712</v>
      </c>
      <c r="C194" s="65" t="s">
        <v>295</v>
      </c>
      <c r="D194" s="66">
        <v>38466</v>
      </c>
      <c r="E194" s="65" t="s">
        <v>1732</v>
      </c>
      <c r="F194" s="65" t="s">
        <v>306</v>
      </c>
      <c r="G194" s="65" t="s">
        <v>296</v>
      </c>
      <c r="H194" s="67">
        <v>24400</v>
      </c>
    </row>
    <row r="195" spans="1:8" ht="14.25" customHeight="1" x14ac:dyDescent="0.3">
      <c r="A195" s="65" t="s">
        <v>713</v>
      </c>
      <c r="B195" s="65" t="s">
        <v>714</v>
      </c>
      <c r="C195" s="65" t="s">
        <v>715</v>
      </c>
      <c r="D195" s="66">
        <v>38479</v>
      </c>
      <c r="E195" s="65" t="s">
        <v>1732</v>
      </c>
      <c r="F195" s="65" t="s">
        <v>306</v>
      </c>
      <c r="G195" s="65" t="s">
        <v>300</v>
      </c>
      <c r="H195" s="67">
        <v>25400</v>
      </c>
    </row>
    <row r="196" spans="1:8" ht="14.25" customHeight="1" x14ac:dyDescent="0.3">
      <c r="A196" s="65" t="s">
        <v>716</v>
      </c>
      <c r="B196" s="65" t="s">
        <v>717</v>
      </c>
      <c r="C196" s="65" t="s">
        <v>718</v>
      </c>
      <c r="D196" s="66">
        <v>38492</v>
      </c>
      <c r="E196" s="65" t="s">
        <v>1732</v>
      </c>
      <c r="F196" s="65" t="s">
        <v>306</v>
      </c>
      <c r="G196" s="65" t="s">
        <v>292</v>
      </c>
      <c r="H196" s="67">
        <v>24600</v>
      </c>
    </row>
    <row r="197" spans="1:8" ht="14.25" customHeight="1" x14ac:dyDescent="0.3">
      <c r="A197" s="65" t="s">
        <v>719</v>
      </c>
      <c r="B197" s="65" t="s">
        <v>720</v>
      </c>
      <c r="C197" s="65" t="s">
        <v>305</v>
      </c>
      <c r="D197" s="66">
        <v>38505</v>
      </c>
      <c r="E197" s="65" t="s">
        <v>1732</v>
      </c>
      <c r="F197" s="65" t="s">
        <v>306</v>
      </c>
      <c r="G197" s="65" t="s">
        <v>300</v>
      </c>
      <c r="H197" s="67">
        <v>25600</v>
      </c>
    </row>
    <row r="198" spans="1:8" ht="14.25" customHeight="1" x14ac:dyDescent="0.3">
      <c r="A198" s="65" t="s">
        <v>721</v>
      </c>
      <c r="B198" s="65" t="s">
        <v>722</v>
      </c>
      <c r="C198" s="65" t="s">
        <v>640</v>
      </c>
      <c r="D198" s="66">
        <v>38518</v>
      </c>
      <c r="E198" s="65" t="s">
        <v>1732</v>
      </c>
      <c r="F198" s="65" t="s">
        <v>306</v>
      </c>
      <c r="G198" s="65" t="s">
        <v>367</v>
      </c>
      <c r="H198" s="67">
        <v>24800</v>
      </c>
    </row>
    <row r="199" spans="1:8" ht="14.25" customHeight="1" x14ac:dyDescent="0.3">
      <c r="A199" s="65" t="s">
        <v>723</v>
      </c>
      <c r="B199" s="65" t="s">
        <v>724</v>
      </c>
      <c r="C199" s="65" t="s">
        <v>725</v>
      </c>
      <c r="D199" s="66">
        <v>38531</v>
      </c>
      <c r="E199" s="65" t="s">
        <v>1725</v>
      </c>
      <c r="F199" s="65" t="s">
        <v>270</v>
      </c>
      <c r="G199" s="65" t="s">
        <v>367</v>
      </c>
      <c r="H199" s="67">
        <v>25800</v>
      </c>
    </row>
    <row r="200" spans="1:8" ht="14.25" customHeight="1" x14ac:dyDescent="0.3">
      <c r="A200" s="65" t="s">
        <v>726</v>
      </c>
      <c r="B200" s="65" t="s">
        <v>709</v>
      </c>
      <c r="C200" s="65" t="s">
        <v>305</v>
      </c>
      <c r="D200" s="66">
        <v>38544</v>
      </c>
      <c r="E200" s="65" t="s">
        <v>1725</v>
      </c>
      <c r="F200" s="65" t="s">
        <v>270</v>
      </c>
      <c r="G200" s="65" t="s">
        <v>300</v>
      </c>
      <c r="H200" s="67">
        <v>25000</v>
      </c>
    </row>
    <row r="201" spans="1:8" ht="14.25" customHeight="1" x14ac:dyDescent="0.3">
      <c r="A201" s="65" t="s">
        <v>727</v>
      </c>
      <c r="B201" s="65" t="s">
        <v>728</v>
      </c>
      <c r="C201" s="65" t="s">
        <v>611</v>
      </c>
      <c r="D201" s="66">
        <v>38557</v>
      </c>
      <c r="E201" s="65" t="s">
        <v>1725</v>
      </c>
      <c r="F201" s="65" t="s">
        <v>270</v>
      </c>
      <c r="G201" s="65" t="s">
        <v>257</v>
      </c>
      <c r="H201" s="67">
        <v>26000</v>
      </c>
    </row>
    <row r="202" spans="1:8" ht="14.25" customHeight="1" x14ac:dyDescent="0.3">
      <c r="A202" s="65" t="s">
        <v>729</v>
      </c>
      <c r="B202" s="65" t="s">
        <v>730</v>
      </c>
      <c r="C202" s="65" t="s">
        <v>614</v>
      </c>
      <c r="D202" s="66">
        <v>38570</v>
      </c>
      <c r="E202" s="65" t="s">
        <v>1727</v>
      </c>
      <c r="F202" s="65" t="s">
        <v>246</v>
      </c>
      <c r="G202" s="65" t="s">
        <v>367</v>
      </c>
      <c r="H202" s="67">
        <v>25200</v>
      </c>
    </row>
    <row r="203" spans="1:8" ht="14.25" customHeight="1" x14ac:dyDescent="0.3">
      <c r="A203" s="65" t="s">
        <v>731</v>
      </c>
      <c r="B203" s="65" t="s">
        <v>732</v>
      </c>
      <c r="C203" s="65" t="s">
        <v>733</v>
      </c>
      <c r="D203" s="66">
        <v>38583</v>
      </c>
      <c r="E203" s="65" t="s">
        <v>1730</v>
      </c>
      <c r="F203" s="65" t="s">
        <v>237</v>
      </c>
      <c r="G203" s="65" t="s">
        <v>367</v>
      </c>
      <c r="H203" s="67">
        <v>26200</v>
      </c>
    </row>
    <row r="204" spans="1:8" ht="14.25" customHeight="1" x14ac:dyDescent="0.3">
      <c r="A204" s="65" t="s">
        <v>734</v>
      </c>
      <c r="B204" s="65" t="s">
        <v>735</v>
      </c>
      <c r="C204" s="65" t="s">
        <v>736</v>
      </c>
      <c r="D204" s="66">
        <v>38596</v>
      </c>
      <c r="E204" s="65" t="s">
        <v>1723</v>
      </c>
      <c r="F204" s="65" t="s">
        <v>246</v>
      </c>
      <c r="G204" s="65" t="s">
        <v>501</v>
      </c>
      <c r="H204" s="67">
        <v>25400</v>
      </c>
    </row>
    <row r="205" spans="1:8" ht="14.25" customHeight="1" x14ac:dyDescent="0.3">
      <c r="A205" s="65" t="s">
        <v>737</v>
      </c>
      <c r="B205" s="65" t="s">
        <v>738</v>
      </c>
      <c r="C205" s="65" t="s">
        <v>383</v>
      </c>
      <c r="D205" s="66">
        <v>38609</v>
      </c>
      <c r="E205" s="65" t="s">
        <v>320</v>
      </c>
      <c r="F205" s="65" t="s">
        <v>320</v>
      </c>
      <c r="G205" s="65" t="s">
        <v>252</v>
      </c>
      <c r="H205" s="67">
        <v>26400</v>
      </c>
    </row>
    <row r="206" spans="1:8" ht="14.25" customHeight="1" x14ac:dyDescent="0.3">
      <c r="A206" s="65" t="s">
        <v>739</v>
      </c>
      <c r="B206" s="65" t="s">
        <v>740</v>
      </c>
      <c r="C206" s="65" t="s">
        <v>455</v>
      </c>
      <c r="D206" s="66">
        <v>38622</v>
      </c>
      <c r="E206" s="65" t="s">
        <v>1725</v>
      </c>
      <c r="F206" s="65" t="s">
        <v>270</v>
      </c>
      <c r="G206" s="65" t="s">
        <v>300</v>
      </c>
      <c r="H206" s="67">
        <v>25600</v>
      </c>
    </row>
    <row r="207" spans="1:8" ht="14.25" customHeight="1" x14ac:dyDescent="0.3">
      <c r="A207" s="65" t="s">
        <v>741</v>
      </c>
      <c r="B207" s="65" t="s">
        <v>709</v>
      </c>
      <c r="C207" s="65" t="s">
        <v>335</v>
      </c>
      <c r="D207" s="66">
        <v>38635</v>
      </c>
      <c r="E207" s="65" t="s">
        <v>1725</v>
      </c>
      <c r="F207" s="65" t="s">
        <v>270</v>
      </c>
      <c r="G207" s="65" t="s">
        <v>252</v>
      </c>
      <c r="H207" s="67">
        <v>26600</v>
      </c>
    </row>
    <row r="208" spans="1:8" ht="14.25" customHeight="1" x14ac:dyDescent="0.3">
      <c r="A208" s="65" t="s">
        <v>742</v>
      </c>
      <c r="B208" s="65" t="s">
        <v>743</v>
      </c>
      <c r="C208" s="65" t="s">
        <v>288</v>
      </c>
      <c r="D208" s="66">
        <v>38648</v>
      </c>
      <c r="E208" s="65" t="s">
        <v>1727</v>
      </c>
      <c r="F208" s="65" t="s">
        <v>246</v>
      </c>
      <c r="G208" s="65" t="s">
        <v>257</v>
      </c>
      <c r="H208" s="67">
        <v>25800</v>
      </c>
    </row>
    <row r="209" spans="1:8" ht="14.25" customHeight="1" x14ac:dyDescent="0.3">
      <c r="A209" s="65" t="s">
        <v>744</v>
      </c>
      <c r="B209" s="65" t="s">
        <v>745</v>
      </c>
      <c r="C209" s="65" t="s">
        <v>448</v>
      </c>
      <c r="D209" s="66">
        <v>38661</v>
      </c>
      <c r="E209" s="65" t="s">
        <v>1725</v>
      </c>
      <c r="F209" s="65" t="s">
        <v>270</v>
      </c>
      <c r="G209" s="65" t="s">
        <v>252</v>
      </c>
      <c r="H209" s="67">
        <v>26800</v>
      </c>
    </row>
    <row r="210" spans="1:8" ht="14.25" customHeight="1" x14ac:dyDescent="0.3">
      <c r="A210" s="65" t="s">
        <v>746</v>
      </c>
      <c r="B210" s="65" t="s">
        <v>747</v>
      </c>
      <c r="C210" s="65" t="s">
        <v>388</v>
      </c>
      <c r="D210" s="66">
        <v>38674</v>
      </c>
      <c r="E210" s="65" t="s">
        <v>1725</v>
      </c>
      <c r="F210" s="65" t="s">
        <v>270</v>
      </c>
      <c r="G210" s="65" t="s">
        <v>257</v>
      </c>
      <c r="H210" s="67">
        <v>26000</v>
      </c>
    </row>
    <row r="211" spans="1:8" ht="14.25" customHeight="1" x14ac:dyDescent="0.3">
      <c r="A211" s="65" t="s">
        <v>748</v>
      </c>
      <c r="B211" s="65" t="s">
        <v>749</v>
      </c>
      <c r="C211" s="65" t="s">
        <v>288</v>
      </c>
      <c r="D211" s="66">
        <v>38687</v>
      </c>
      <c r="E211" s="65" t="s">
        <v>1727</v>
      </c>
      <c r="F211" s="65" t="s">
        <v>246</v>
      </c>
      <c r="G211" s="65" t="s">
        <v>257</v>
      </c>
      <c r="H211" s="67">
        <v>27000</v>
      </c>
    </row>
    <row r="212" spans="1:8" ht="14.25" customHeight="1" x14ac:dyDescent="0.3">
      <c r="A212" s="65" t="s">
        <v>750</v>
      </c>
      <c r="B212" s="65" t="s">
        <v>751</v>
      </c>
      <c r="C212" s="65" t="s">
        <v>312</v>
      </c>
      <c r="D212" s="66">
        <v>38700</v>
      </c>
      <c r="E212" s="65" t="s">
        <v>1723</v>
      </c>
      <c r="F212" s="65" t="s">
        <v>246</v>
      </c>
      <c r="G212" s="65" t="s">
        <v>313</v>
      </c>
      <c r="H212" s="67">
        <v>26200</v>
      </c>
    </row>
    <row r="213" spans="1:8" ht="14.25" customHeight="1" x14ac:dyDescent="0.3">
      <c r="A213" s="65" t="s">
        <v>752</v>
      </c>
      <c r="B213" s="65" t="s">
        <v>753</v>
      </c>
      <c r="C213" s="65" t="s">
        <v>754</v>
      </c>
      <c r="D213" s="66">
        <v>38713</v>
      </c>
      <c r="E213" s="65" t="s">
        <v>1723</v>
      </c>
      <c r="F213" s="65" t="s">
        <v>246</v>
      </c>
      <c r="G213" s="65" t="s">
        <v>367</v>
      </c>
      <c r="H213" s="67">
        <v>27200</v>
      </c>
    </row>
    <row r="214" spans="1:8" ht="14.25" customHeight="1" x14ac:dyDescent="0.3">
      <c r="A214" s="65" t="s">
        <v>755</v>
      </c>
      <c r="B214" s="65" t="s">
        <v>709</v>
      </c>
      <c r="C214" s="65" t="s">
        <v>466</v>
      </c>
      <c r="D214" s="66">
        <v>38726</v>
      </c>
      <c r="E214" s="65" t="s">
        <v>1725</v>
      </c>
      <c r="F214" s="65" t="s">
        <v>270</v>
      </c>
      <c r="G214" s="65" t="s">
        <v>300</v>
      </c>
      <c r="H214" s="67">
        <v>26400</v>
      </c>
    </row>
    <row r="215" spans="1:8" ht="14.25" customHeight="1" x14ac:dyDescent="0.3">
      <c r="A215" s="65" t="s">
        <v>756</v>
      </c>
      <c r="B215" s="65" t="s">
        <v>757</v>
      </c>
      <c r="C215" s="65" t="s">
        <v>466</v>
      </c>
      <c r="D215" s="66">
        <v>38739</v>
      </c>
      <c r="E215" s="65" t="s">
        <v>1727</v>
      </c>
      <c r="F215" s="65" t="s">
        <v>246</v>
      </c>
      <c r="G215" s="65" t="s">
        <v>300</v>
      </c>
      <c r="H215" s="67">
        <v>27400</v>
      </c>
    </row>
    <row r="216" spans="1:8" ht="14.25" customHeight="1" x14ac:dyDescent="0.3">
      <c r="A216" s="65" t="s">
        <v>758</v>
      </c>
      <c r="B216" s="65" t="s">
        <v>759</v>
      </c>
      <c r="C216" s="65" t="s">
        <v>528</v>
      </c>
      <c r="D216" s="66">
        <v>38752</v>
      </c>
      <c r="E216" s="65" t="s">
        <v>1724</v>
      </c>
      <c r="F216" s="65" t="s">
        <v>237</v>
      </c>
      <c r="G216" s="65" t="s">
        <v>257</v>
      </c>
      <c r="H216" s="67">
        <v>26600</v>
      </c>
    </row>
    <row r="217" spans="1:8" ht="14.25" customHeight="1" x14ac:dyDescent="0.3">
      <c r="A217" s="65" t="s">
        <v>760</v>
      </c>
      <c r="B217" s="65" t="s">
        <v>761</v>
      </c>
      <c r="C217" s="65" t="s">
        <v>448</v>
      </c>
      <c r="D217" s="66">
        <v>38765</v>
      </c>
      <c r="E217" s="65" t="s">
        <v>1723</v>
      </c>
      <c r="F217" s="65" t="s">
        <v>246</v>
      </c>
      <c r="G217" s="65" t="s">
        <v>252</v>
      </c>
      <c r="H217" s="67">
        <v>27600</v>
      </c>
    </row>
    <row r="218" spans="1:8" ht="14.25" customHeight="1" x14ac:dyDescent="0.3">
      <c r="A218" s="65" t="s">
        <v>762</v>
      </c>
      <c r="B218" s="65" t="s">
        <v>763</v>
      </c>
      <c r="C218" s="65" t="s">
        <v>448</v>
      </c>
      <c r="D218" s="66">
        <v>38778</v>
      </c>
      <c r="E218" s="65" t="s">
        <v>1725</v>
      </c>
      <c r="F218" s="65" t="s">
        <v>270</v>
      </c>
      <c r="G218" s="65" t="s">
        <v>252</v>
      </c>
      <c r="H218" s="67">
        <v>26800</v>
      </c>
    </row>
    <row r="219" spans="1:8" ht="14.25" customHeight="1" x14ac:dyDescent="0.3">
      <c r="A219" s="65" t="s">
        <v>764</v>
      </c>
      <c r="B219" s="65" t="s">
        <v>765</v>
      </c>
      <c r="C219" s="65" t="s">
        <v>626</v>
      </c>
      <c r="D219" s="66">
        <v>38791</v>
      </c>
      <c r="E219" s="65" t="s">
        <v>1727</v>
      </c>
      <c r="F219" s="65" t="s">
        <v>246</v>
      </c>
      <c r="G219" s="65" t="s">
        <v>296</v>
      </c>
      <c r="H219" s="67">
        <v>27800</v>
      </c>
    </row>
    <row r="220" spans="1:8" ht="14.25" customHeight="1" x14ac:dyDescent="0.3">
      <c r="A220" s="65" t="s">
        <v>766</v>
      </c>
      <c r="B220" s="65" t="s">
        <v>767</v>
      </c>
      <c r="C220" s="65" t="s">
        <v>626</v>
      </c>
      <c r="D220" s="66">
        <v>38804</v>
      </c>
      <c r="E220" s="65" t="s">
        <v>1727</v>
      </c>
      <c r="F220" s="65" t="s">
        <v>246</v>
      </c>
      <c r="G220" s="65" t="s">
        <v>296</v>
      </c>
      <c r="H220" s="67">
        <v>27000</v>
      </c>
    </row>
    <row r="221" spans="1:8" ht="14.25" customHeight="1" x14ac:dyDescent="0.3">
      <c r="A221" s="65" t="s">
        <v>768</v>
      </c>
      <c r="B221" s="65" t="s">
        <v>769</v>
      </c>
      <c r="C221" s="65" t="s">
        <v>528</v>
      </c>
      <c r="D221" s="66">
        <v>38817</v>
      </c>
      <c r="E221" s="65" t="s">
        <v>1727</v>
      </c>
      <c r="F221" s="65" t="s">
        <v>246</v>
      </c>
      <c r="G221" s="65" t="s">
        <v>257</v>
      </c>
      <c r="H221" s="67">
        <v>28000</v>
      </c>
    </row>
    <row r="222" spans="1:8" ht="14.25" customHeight="1" x14ac:dyDescent="0.3">
      <c r="A222" s="65" t="s">
        <v>770</v>
      </c>
      <c r="B222" s="65" t="s">
        <v>771</v>
      </c>
      <c r="C222" s="65" t="s">
        <v>363</v>
      </c>
      <c r="D222" s="66">
        <v>38830</v>
      </c>
      <c r="E222" s="65" t="s">
        <v>1723</v>
      </c>
      <c r="F222" s="65" t="s">
        <v>246</v>
      </c>
      <c r="G222" s="65" t="s">
        <v>296</v>
      </c>
      <c r="H222" s="67">
        <v>27200</v>
      </c>
    </row>
    <row r="223" spans="1:8" ht="14.25" customHeight="1" x14ac:dyDescent="0.3">
      <c r="A223" s="65" t="s">
        <v>772</v>
      </c>
      <c r="B223" s="65" t="s">
        <v>773</v>
      </c>
      <c r="C223" s="65" t="s">
        <v>528</v>
      </c>
      <c r="D223" s="66">
        <v>38843</v>
      </c>
      <c r="E223" s="65" t="s">
        <v>1725</v>
      </c>
      <c r="F223" s="65" t="s">
        <v>270</v>
      </c>
      <c r="G223" s="65" t="s">
        <v>257</v>
      </c>
      <c r="H223" s="67">
        <v>28200</v>
      </c>
    </row>
    <row r="224" spans="1:8" ht="14.25" customHeight="1" x14ac:dyDescent="0.3">
      <c r="A224" s="65" t="s">
        <v>774</v>
      </c>
      <c r="B224" s="65" t="s">
        <v>775</v>
      </c>
      <c r="C224" s="65" t="s">
        <v>776</v>
      </c>
      <c r="D224" s="66">
        <v>38856</v>
      </c>
      <c r="E224" s="65" t="s">
        <v>1723</v>
      </c>
      <c r="F224" s="65" t="s">
        <v>246</v>
      </c>
      <c r="G224" s="65" t="s">
        <v>533</v>
      </c>
      <c r="H224" s="67">
        <v>27400</v>
      </c>
    </row>
    <row r="225" spans="1:8" ht="14.25" customHeight="1" x14ac:dyDescent="0.3">
      <c r="A225" s="65" t="s">
        <v>777</v>
      </c>
      <c r="B225" s="65" t="s">
        <v>778</v>
      </c>
      <c r="C225" s="65" t="s">
        <v>514</v>
      </c>
      <c r="D225" s="66">
        <v>38869</v>
      </c>
      <c r="E225" s="65" t="s">
        <v>1723</v>
      </c>
      <c r="F225" s="65" t="s">
        <v>246</v>
      </c>
      <c r="G225" s="65" t="s">
        <v>257</v>
      </c>
      <c r="H225" s="67">
        <v>28400</v>
      </c>
    </row>
    <row r="226" spans="1:8" ht="14.25" customHeight="1" x14ac:dyDescent="0.3">
      <c r="A226" s="65" t="s">
        <v>779</v>
      </c>
      <c r="B226" s="65" t="s">
        <v>780</v>
      </c>
      <c r="C226" s="65" t="s">
        <v>781</v>
      </c>
      <c r="D226" s="66">
        <v>38882</v>
      </c>
      <c r="E226" s="65" t="s">
        <v>1725</v>
      </c>
      <c r="F226" s="65" t="s">
        <v>270</v>
      </c>
      <c r="G226" s="65" t="s">
        <v>257</v>
      </c>
      <c r="H226" s="67">
        <v>27600</v>
      </c>
    </row>
    <row r="227" spans="1:8" ht="14.25" customHeight="1" x14ac:dyDescent="0.3">
      <c r="A227" s="65" t="s">
        <v>782</v>
      </c>
      <c r="B227" s="65" t="s">
        <v>783</v>
      </c>
      <c r="C227" s="65" t="s">
        <v>784</v>
      </c>
      <c r="D227" s="66">
        <v>38895</v>
      </c>
      <c r="E227" s="65" t="s">
        <v>1725</v>
      </c>
      <c r="F227" s="65" t="s">
        <v>270</v>
      </c>
      <c r="G227" s="65" t="s">
        <v>271</v>
      </c>
      <c r="H227" s="67">
        <v>28600</v>
      </c>
    </row>
    <row r="228" spans="1:8" ht="14.25" customHeight="1" x14ac:dyDescent="0.3">
      <c r="A228" s="65" t="s">
        <v>785</v>
      </c>
      <c r="B228" s="65" t="s">
        <v>786</v>
      </c>
      <c r="C228" s="65" t="s">
        <v>351</v>
      </c>
      <c r="D228" s="66">
        <v>38908</v>
      </c>
      <c r="E228" s="65" t="s">
        <v>237</v>
      </c>
      <c r="F228" s="65" t="s">
        <v>237</v>
      </c>
      <c r="G228" s="65" t="s">
        <v>332</v>
      </c>
      <c r="H228" s="67">
        <v>27800</v>
      </c>
    </row>
    <row r="229" spans="1:8" ht="14.25" customHeight="1" x14ac:dyDescent="0.3">
      <c r="A229" s="65" t="s">
        <v>787</v>
      </c>
      <c r="B229" s="65" t="s">
        <v>788</v>
      </c>
      <c r="C229" s="65" t="s">
        <v>789</v>
      </c>
      <c r="D229" s="66">
        <v>38921</v>
      </c>
      <c r="E229" s="65" t="s">
        <v>1723</v>
      </c>
      <c r="F229" s="65" t="s">
        <v>246</v>
      </c>
      <c r="G229" s="65" t="s">
        <v>367</v>
      </c>
      <c r="H229" s="67">
        <v>28800</v>
      </c>
    </row>
    <row r="230" spans="1:8" ht="14.25" customHeight="1" x14ac:dyDescent="0.3">
      <c r="A230" s="65" t="s">
        <v>790</v>
      </c>
      <c r="B230" s="65" t="s">
        <v>791</v>
      </c>
      <c r="C230" s="65" t="s">
        <v>792</v>
      </c>
      <c r="D230" s="66">
        <v>38934</v>
      </c>
      <c r="E230" s="65" t="s">
        <v>320</v>
      </c>
      <c r="F230" s="65" t="s">
        <v>320</v>
      </c>
      <c r="G230" s="65" t="s">
        <v>257</v>
      </c>
      <c r="H230" s="67">
        <v>28000</v>
      </c>
    </row>
    <row r="231" spans="1:8" ht="14.25" customHeight="1" x14ac:dyDescent="0.3">
      <c r="A231" s="65" t="s">
        <v>793</v>
      </c>
      <c r="B231" s="65" t="s">
        <v>794</v>
      </c>
      <c r="C231" s="65" t="s">
        <v>665</v>
      </c>
      <c r="D231" s="66">
        <v>38947</v>
      </c>
      <c r="E231" s="65" t="s">
        <v>1723</v>
      </c>
      <c r="F231" s="65" t="s">
        <v>246</v>
      </c>
      <c r="G231" s="65" t="s">
        <v>257</v>
      </c>
      <c r="H231" s="67">
        <v>29000</v>
      </c>
    </row>
    <row r="232" spans="1:8" ht="14.25" customHeight="1" x14ac:dyDescent="0.3">
      <c r="A232" s="65" t="s">
        <v>795</v>
      </c>
      <c r="B232" s="65" t="s">
        <v>796</v>
      </c>
      <c r="C232" s="65" t="s">
        <v>295</v>
      </c>
      <c r="D232" s="66">
        <v>38960</v>
      </c>
      <c r="E232" s="65" t="s">
        <v>1725</v>
      </c>
      <c r="F232" s="65" t="s">
        <v>270</v>
      </c>
      <c r="G232" s="65" t="s">
        <v>296</v>
      </c>
      <c r="H232" s="67">
        <v>28200</v>
      </c>
    </row>
    <row r="233" spans="1:8" ht="14.25" customHeight="1" x14ac:dyDescent="0.3">
      <c r="A233" s="65" t="s">
        <v>797</v>
      </c>
      <c r="B233" s="65" t="s">
        <v>798</v>
      </c>
      <c r="C233" s="65" t="s">
        <v>288</v>
      </c>
      <c r="D233" s="66">
        <v>38973</v>
      </c>
      <c r="E233" s="65" t="s">
        <v>1723</v>
      </c>
      <c r="F233" s="65" t="s">
        <v>246</v>
      </c>
      <c r="G233" s="65" t="s">
        <v>257</v>
      </c>
      <c r="H233" s="67">
        <v>29200</v>
      </c>
    </row>
    <row r="234" spans="1:8" ht="14.25" customHeight="1" x14ac:dyDescent="0.3">
      <c r="A234" s="65" t="s">
        <v>799</v>
      </c>
      <c r="B234" s="65" t="s">
        <v>800</v>
      </c>
      <c r="C234" s="65" t="s">
        <v>801</v>
      </c>
      <c r="D234" s="66">
        <v>38986</v>
      </c>
      <c r="E234" s="65" t="s">
        <v>1731</v>
      </c>
      <c r="F234" s="65" t="s">
        <v>449</v>
      </c>
      <c r="G234" s="65" t="s">
        <v>296</v>
      </c>
      <c r="H234" s="67">
        <v>28400</v>
      </c>
    </row>
    <row r="235" spans="1:8" ht="14.25" customHeight="1" x14ac:dyDescent="0.3">
      <c r="A235" s="65" t="s">
        <v>802</v>
      </c>
      <c r="B235" s="65" t="s">
        <v>803</v>
      </c>
      <c r="C235" s="65" t="s">
        <v>479</v>
      </c>
      <c r="D235" s="66">
        <v>38999</v>
      </c>
      <c r="E235" s="65" t="s">
        <v>1723</v>
      </c>
      <c r="F235" s="65" t="s">
        <v>246</v>
      </c>
      <c r="G235" s="65" t="s">
        <v>332</v>
      </c>
      <c r="H235" s="67">
        <v>29400</v>
      </c>
    </row>
    <row r="236" spans="1:8" ht="14.25" customHeight="1" x14ac:dyDescent="0.3">
      <c r="A236" s="65" t="s">
        <v>804</v>
      </c>
      <c r="B236" s="65" t="s">
        <v>773</v>
      </c>
      <c r="C236" s="65" t="s">
        <v>651</v>
      </c>
      <c r="D236" s="66">
        <v>39012</v>
      </c>
      <c r="E236" s="65" t="s">
        <v>1723</v>
      </c>
      <c r="F236" s="65" t="s">
        <v>246</v>
      </c>
      <c r="G236" s="65" t="s">
        <v>501</v>
      </c>
      <c r="H236" s="67">
        <v>28600</v>
      </c>
    </row>
    <row r="237" spans="1:8" ht="14.25" customHeight="1" x14ac:dyDescent="0.3">
      <c r="A237" s="65" t="s">
        <v>805</v>
      </c>
      <c r="B237" s="65" t="s">
        <v>806</v>
      </c>
      <c r="C237" s="65" t="s">
        <v>614</v>
      </c>
      <c r="D237" s="66">
        <v>39025</v>
      </c>
      <c r="E237" s="65" t="s">
        <v>1725</v>
      </c>
      <c r="F237" s="65" t="s">
        <v>270</v>
      </c>
      <c r="G237" s="65" t="s">
        <v>367</v>
      </c>
      <c r="H237" s="67">
        <v>29600</v>
      </c>
    </row>
    <row r="238" spans="1:8" ht="14.25" customHeight="1" x14ac:dyDescent="0.3">
      <c r="A238" s="65" t="s">
        <v>807</v>
      </c>
      <c r="B238" s="65" t="s">
        <v>808</v>
      </c>
      <c r="C238" s="65" t="s">
        <v>455</v>
      </c>
      <c r="D238" s="66">
        <v>39038</v>
      </c>
      <c r="E238" s="65" t="s">
        <v>1726</v>
      </c>
      <c r="F238" s="65" t="s">
        <v>284</v>
      </c>
      <c r="G238" s="65" t="s">
        <v>300</v>
      </c>
      <c r="H238" s="67">
        <v>28800</v>
      </c>
    </row>
    <row r="239" spans="1:8" ht="14.25" customHeight="1" x14ac:dyDescent="0.3">
      <c r="A239" s="65" t="s">
        <v>809</v>
      </c>
      <c r="B239" s="65" t="s">
        <v>810</v>
      </c>
      <c r="C239" s="65" t="s">
        <v>611</v>
      </c>
      <c r="D239" s="66">
        <v>39051</v>
      </c>
      <c r="E239" s="65" t="s">
        <v>1730</v>
      </c>
      <c r="F239" s="65" t="s">
        <v>237</v>
      </c>
      <c r="G239" s="65" t="s">
        <v>257</v>
      </c>
      <c r="H239" s="67">
        <v>29800</v>
      </c>
    </row>
    <row r="240" spans="1:8" ht="14.25" customHeight="1" x14ac:dyDescent="0.3">
      <c r="A240" s="65" t="s">
        <v>811</v>
      </c>
      <c r="B240" s="65" t="s">
        <v>812</v>
      </c>
      <c r="C240" s="65" t="s">
        <v>328</v>
      </c>
      <c r="D240" s="66">
        <v>39064</v>
      </c>
      <c r="E240" s="65" t="s">
        <v>237</v>
      </c>
      <c r="F240" s="65" t="s">
        <v>237</v>
      </c>
      <c r="G240" s="65" t="s">
        <v>252</v>
      </c>
      <c r="H240" s="67">
        <v>29000</v>
      </c>
    </row>
    <row r="241" spans="1:8" ht="14.25" customHeight="1" x14ac:dyDescent="0.3">
      <c r="A241" s="65" t="s">
        <v>813</v>
      </c>
      <c r="B241" s="65" t="s">
        <v>814</v>
      </c>
      <c r="C241" s="65" t="s">
        <v>448</v>
      </c>
      <c r="D241" s="66">
        <v>39077</v>
      </c>
      <c r="E241" s="65" t="s">
        <v>1725</v>
      </c>
      <c r="F241" s="65" t="s">
        <v>270</v>
      </c>
      <c r="G241" s="65" t="s">
        <v>252</v>
      </c>
      <c r="H241" s="67">
        <v>30000</v>
      </c>
    </row>
    <row r="242" spans="1:8" ht="14.25" customHeight="1" x14ac:dyDescent="0.3">
      <c r="A242" s="65" t="s">
        <v>815</v>
      </c>
      <c r="B242" s="65" t="s">
        <v>816</v>
      </c>
      <c r="C242" s="65" t="s">
        <v>817</v>
      </c>
      <c r="D242" s="66">
        <v>39090</v>
      </c>
      <c r="E242" s="65" t="s">
        <v>1725</v>
      </c>
      <c r="F242" s="65" t="s">
        <v>270</v>
      </c>
      <c r="G242" s="65" t="s">
        <v>313</v>
      </c>
      <c r="H242" s="67">
        <v>29200</v>
      </c>
    </row>
    <row r="243" spans="1:8" ht="14.25" customHeight="1" x14ac:dyDescent="0.3">
      <c r="A243" s="65" t="s">
        <v>818</v>
      </c>
      <c r="B243" s="65" t="s">
        <v>819</v>
      </c>
      <c r="C243" s="65" t="s">
        <v>288</v>
      </c>
      <c r="D243" s="66">
        <v>39103</v>
      </c>
      <c r="E243" s="65" t="s">
        <v>1725</v>
      </c>
      <c r="F243" s="65" t="s">
        <v>270</v>
      </c>
      <c r="G243" s="65" t="s">
        <v>257</v>
      </c>
      <c r="H243" s="67">
        <v>30200</v>
      </c>
    </row>
    <row r="244" spans="1:8" ht="14.25" customHeight="1" x14ac:dyDescent="0.3">
      <c r="A244" s="65" t="s">
        <v>820</v>
      </c>
      <c r="B244" s="65" t="s">
        <v>821</v>
      </c>
      <c r="C244" s="65" t="s">
        <v>822</v>
      </c>
      <c r="D244" s="66">
        <v>39116</v>
      </c>
      <c r="E244" s="65" t="s">
        <v>1723</v>
      </c>
      <c r="F244" s="65" t="s">
        <v>246</v>
      </c>
      <c r="G244" s="65" t="s">
        <v>339</v>
      </c>
      <c r="H244" s="67">
        <v>29400</v>
      </c>
    </row>
    <row r="245" spans="1:8" ht="14.25" customHeight="1" x14ac:dyDescent="0.3">
      <c r="A245" s="65" t="s">
        <v>823</v>
      </c>
      <c r="B245" s="65" t="s">
        <v>824</v>
      </c>
      <c r="C245" s="65" t="s">
        <v>288</v>
      </c>
      <c r="D245" s="66">
        <v>39129</v>
      </c>
      <c r="E245" s="65" t="s">
        <v>1725</v>
      </c>
      <c r="F245" s="65" t="s">
        <v>270</v>
      </c>
      <c r="G245" s="65" t="s">
        <v>257</v>
      </c>
      <c r="H245" s="67">
        <v>30400</v>
      </c>
    </row>
    <row r="246" spans="1:8" ht="14.25" customHeight="1" x14ac:dyDescent="0.3">
      <c r="A246" s="65" t="s">
        <v>825</v>
      </c>
      <c r="B246" s="65" t="s">
        <v>826</v>
      </c>
      <c r="C246" s="65" t="s">
        <v>305</v>
      </c>
      <c r="D246" s="66">
        <v>39142</v>
      </c>
      <c r="E246" s="65" t="s">
        <v>1725</v>
      </c>
      <c r="F246" s="65" t="s">
        <v>270</v>
      </c>
      <c r="G246" s="65" t="s">
        <v>300</v>
      </c>
      <c r="H246" s="67">
        <v>29600</v>
      </c>
    </row>
    <row r="247" spans="1:8" ht="14.25" customHeight="1" x14ac:dyDescent="0.3">
      <c r="A247" s="65" t="s">
        <v>827</v>
      </c>
      <c r="B247" s="65" t="s">
        <v>828</v>
      </c>
      <c r="C247" s="65" t="s">
        <v>288</v>
      </c>
      <c r="D247" s="66">
        <v>39155</v>
      </c>
      <c r="E247" s="65" t="s">
        <v>1727</v>
      </c>
      <c r="F247" s="65" t="s">
        <v>246</v>
      </c>
      <c r="G247" s="65" t="s">
        <v>257</v>
      </c>
      <c r="H247" s="67">
        <v>30600</v>
      </c>
    </row>
    <row r="248" spans="1:8" ht="14.25" customHeight="1" x14ac:dyDescent="0.3">
      <c r="A248" s="65" t="s">
        <v>829</v>
      </c>
      <c r="B248" s="65" t="s">
        <v>830</v>
      </c>
      <c r="C248" s="65" t="s">
        <v>466</v>
      </c>
      <c r="D248" s="66">
        <v>39168</v>
      </c>
      <c r="E248" s="65" t="s">
        <v>1727</v>
      </c>
      <c r="F248" s="65" t="s">
        <v>246</v>
      </c>
      <c r="G248" s="65" t="s">
        <v>300</v>
      </c>
      <c r="H248" s="67">
        <v>29800</v>
      </c>
    </row>
    <row r="249" spans="1:8" ht="14.25" customHeight="1" x14ac:dyDescent="0.3">
      <c r="A249" s="65" t="s">
        <v>831</v>
      </c>
      <c r="B249" s="65" t="s">
        <v>832</v>
      </c>
      <c r="C249" s="65" t="s">
        <v>256</v>
      </c>
      <c r="D249" s="66">
        <v>39181</v>
      </c>
      <c r="E249" s="65" t="s">
        <v>237</v>
      </c>
      <c r="F249" s="65" t="s">
        <v>237</v>
      </c>
      <c r="G249" s="65" t="s">
        <v>257</v>
      </c>
      <c r="H249" s="67">
        <v>30800</v>
      </c>
    </row>
    <row r="250" spans="1:8" ht="14.25" customHeight="1" x14ac:dyDescent="0.3">
      <c r="A250" s="65" t="s">
        <v>833</v>
      </c>
      <c r="B250" s="65" t="s">
        <v>834</v>
      </c>
      <c r="C250" s="65" t="s">
        <v>835</v>
      </c>
      <c r="D250" s="66">
        <v>39194</v>
      </c>
      <c r="E250" s="65" t="s">
        <v>1727</v>
      </c>
      <c r="F250" s="65" t="s">
        <v>246</v>
      </c>
      <c r="G250" s="65" t="s">
        <v>292</v>
      </c>
      <c r="H250" s="67">
        <v>30000</v>
      </c>
    </row>
    <row r="251" spans="1:8" ht="14.25" customHeight="1" x14ac:dyDescent="0.3">
      <c r="A251" s="65" t="s">
        <v>836</v>
      </c>
      <c r="B251" s="65" t="s">
        <v>837</v>
      </c>
      <c r="C251" s="65" t="s">
        <v>695</v>
      </c>
      <c r="D251" s="66">
        <v>39207</v>
      </c>
      <c r="E251" s="65" t="s">
        <v>234</v>
      </c>
      <c r="F251" s="65" t="s">
        <v>236</v>
      </c>
      <c r="G251" s="65" t="s">
        <v>332</v>
      </c>
      <c r="H251" s="67">
        <v>31000</v>
      </c>
    </row>
    <row r="252" spans="1:8" ht="14.25" customHeight="1" x14ac:dyDescent="0.3">
      <c r="A252" s="65" t="s">
        <v>838</v>
      </c>
      <c r="B252" s="65" t="s">
        <v>839</v>
      </c>
      <c r="C252" s="65" t="s">
        <v>840</v>
      </c>
      <c r="D252" s="66">
        <v>39220</v>
      </c>
      <c r="E252" s="65" t="s">
        <v>1725</v>
      </c>
      <c r="F252" s="65" t="s">
        <v>270</v>
      </c>
      <c r="G252" s="65" t="s">
        <v>271</v>
      </c>
      <c r="H252" s="67">
        <v>30200</v>
      </c>
    </row>
    <row r="253" spans="1:8" ht="14.25" customHeight="1" x14ac:dyDescent="0.3">
      <c r="A253" s="65" t="s">
        <v>841</v>
      </c>
      <c r="B253" s="65" t="s">
        <v>842</v>
      </c>
      <c r="C253" s="65" t="s">
        <v>438</v>
      </c>
      <c r="D253" s="66">
        <v>39233</v>
      </c>
      <c r="E253" s="65" t="s">
        <v>1723</v>
      </c>
      <c r="F253" s="65" t="s">
        <v>246</v>
      </c>
      <c r="G253" s="65" t="s">
        <v>252</v>
      </c>
      <c r="H253" s="67">
        <v>31200</v>
      </c>
    </row>
    <row r="254" spans="1:8" ht="14.25" customHeight="1" x14ac:dyDescent="0.3">
      <c r="A254" s="65" t="s">
        <v>843</v>
      </c>
      <c r="B254" s="65" t="s">
        <v>844</v>
      </c>
      <c r="C254" s="65" t="s">
        <v>614</v>
      </c>
      <c r="D254" s="66">
        <v>39246</v>
      </c>
      <c r="E254" s="65" t="s">
        <v>1723</v>
      </c>
      <c r="F254" s="65" t="s">
        <v>246</v>
      </c>
      <c r="G254" s="65" t="s">
        <v>367</v>
      </c>
      <c r="H254" s="67">
        <v>30400</v>
      </c>
    </row>
    <row r="255" spans="1:8" ht="14.25" customHeight="1" x14ac:dyDescent="0.3">
      <c r="A255" s="65" t="s">
        <v>845</v>
      </c>
      <c r="B255" s="65" t="s">
        <v>846</v>
      </c>
      <c r="C255" s="65" t="s">
        <v>517</v>
      </c>
      <c r="D255" s="66">
        <v>39259</v>
      </c>
      <c r="E255" s="65" t="s">
        <v>1729</v>
      </c>
      <c r="F255" s="65" t="s">
        <v>377</v>
      </c>
      <c r="G255" s="65" t="s">
        <v>332</v>
      </c>
      <c r="H255" s="67">
        <v>31400</v>
      </c>
    </row>
    <row r="256" spans="1:8" ht="14.25" customHeight="1" x14ac:dyDescent="0.3">
      <c r="A256" s="65" t="s">
        <v>847</v>
      </c>
      <c r="B256" s="65" t="s">
        <v>848</v>
      </c>
      <c r="C256" s="65" t="s">
        <v>383</v>
      </c>
      <c r="D256" s="66">
        <v>39272</v>
      </c>
      <c r="E256" s="65" t="s">
        <v>1725</v>
      </c>
      <c r="F256" s="65" t="s">
        <v>270</v>
      </c>
      <c r="G256" s="65" t="s">
        <v>252</v>
      </c>
      <c r="H256" s="67">
        <v>30600</v>
      </c>
    </row>
    <row r="257" spans="1:8" ht="14.25" customHeight="1" x14ac:dyDescent="0.3">
      <c r="A257" s="65" t="s">
        <v>849</v>
      </c>
      <c r="B257" s="65" t="s">
        <v>850</v>
      </c>
      <c r="C257" s="65" t="s">
        <v>851</v>
      </c>
      <c r="D257" s="66">
        <v>39285</v>
      </c>
      <c r="E257" s="65" t="s">
        <v>1723</v>
      </c>
      <c r="F257" s="65" t="s">
        <v>246</v>
      </c>
      <c r="G257" s="65" t="s">
        <v>252</v>
      </c>
      <c r="H257" s="67">
        <v>31600</v>
      </c>
    </row>
    <row r="258" spans="1:8" ht="14.25" customHeight="1" x14ac:dyDescent="0.3">
      <c r="A258" s="65" t="s">
        <v>852</v>
      </c>
      <c r="B258" s="65" t="s">
        <v>853</v>
      </c>
      <c r="C258" s="65" t="s">
        <v>383</v>
      </c>
      <c r="D258" s="66">
        <v>39298</v>
      </c>
      <c r="E258" s="65" t="s">
        <v>1725</v>
      </c>
      <c r="F258" s="65" t="s">
        <v>270</v>
      </c>
      <c r="G258" s="65" t="s">
        <v>252</v>
      </c>
      <c r="H258" s="67">
        <v>30800</v>
      </c>
    </row>
    <row r="259" spans="1:8" ht="14.25" customHeight="1" x14ac:dyDescent="0.3">
      <c r="A259" s="65" t="s">
        <v>854</v>
      </c>
      <c r="B259" s="65" t="s">
        <v>855</v>
      </c>
      <c r="C259" s="65" t="s">
        <v>691</v>
      </c>
      <c r="D259" s="66">
        <v>39311</v>
      </c>
      <c r="E259" s="65" t="s">
        <v>1725</v>
      </c>
      <c r="F259" s="65" t="s">
        <v>270</v>
      </c>
      <c r="G259" s="65" t="s">
        <v>271</v>
      </c>
      <c r="H259" s="67">
        <v>31800</v>
      </c>
    </row>
    <row r="260" spans="1:8" ht="14.25" customHeight="1" x14ac:dyDescent="0.3">
      <c r="A260" s="65" t="s">
        <v>856</v>
      </c>
      <c r="B260" s="65" t="s">
        <v>857</v>
      </c>
      <c r="C260" s="65" t="s">
        <v>514</v>
      </c>
      <c r="D260" s="66">
        <v>39324</v>
      </c>
      <c r="E260" s="65" t="s">
        <v>1730</v>
      </c>
      <c r="F260" s="65" t="s">
        <v>237</v>
      </c>
      <c r="G260" s="65" t="s">
        <v>257</v>
      </c>
      <c r="H260" s="67">
        <v>31000</v>
      </c>
    </row>
    <row r="261" spans="1:8" ht="14.25" customHeight="1" x14ac:dyDescent="0.3">
      <c r="A261" s="65" t="s">
        <v>858</v>
      </c>
      <c r="B261" s="65" t="s">
        <v>859</v>
      </c>
      <c r="C261" s="65" t="s">
        <v>295</v>
      </c>
      <c r="D261" s="66">
        <v>39337</v>
      </c>
      <c r="E261" s="65" t="s">
        <v>1723</v>
      </c>
      <c r="F261" s="65" t="s">
        <v>246</v>
      </c>
      <c r="G261" s="65" t="s">
        <v>296</v>
      </c>
      <c r="H261" s="67">
        <v>32000</v>
      </c>
    </row>
    <row r="262" spans="1:8" ht="14.25" customHeight="1" x14ac:dyDescent="0.3">
      <c r="A262" s="65" t="s">
        <v>860</v>
      </c>
      <c r="B262" s="65" t="s">
        <v>861</v>
      </c>
      <c r="C262" s="65" t="s">
        <v>448</v>
      </c>
      <c r="D262" s="66">
        <v>39350</v>
      </c>
      <c r="E262" s="65" t="s">
        <v>1727</v>
      </c>
      <c r="F262" s="65" t="s">
        <v>246</v>
      </c>
      <c r="G262" s="65" t="s">
        <v>252</v>
      </c>
      <c r="H262" s="67">
        <v>31200</v>
      </c>
    </row>
    <row r="263" spans="1:8" ht="14.25" customHeight="1" x14ac:dyDescent="0.3">
      <c r="A263" s="65" t="s">
        <v>862</v>
      </c>
      <c r="B263" s="65" t="s">
        <v>863</v>
      </c>
      <c r="C263" s="65" t="s">
        <v>388</v>
      </c>
      <c r="D263" s="66">
        <v>39363</v>
      </c>
      <c r="E263" s="65" t="s">
        <v>320</v>
      </c>
      <c r="F263" s="65" t="s">
        <v>320</v>
      </c>
      <c r="G263" s="65" t="s">
        <v>257</v>
      </c>
      <c r="H263" s="67">
        <v>32200</v>
      </c>
    </row>
    <row r="264" spans="1:8" ht="14.25" customHeight="1" x14ac:dyDescent="0.3">
      <c r="A264" s="65" t="s">
        <v>864</v>
      </c>
      <c r="B264" s="65" t="s">
        <v>865</v>
      </c>
      <c r="C264" s="65" t="s">
        <v>427</v>
      </c>
      <c r="D264" s="66">
        <v>39376</v>
      </c>
      <c r="E264" s="65" t="s">
        <v>1723</v>
      </c>
      <c r="F264" s="65" t="s">
        <v>246</v>
      </c>
      <c r="G264" s="65" t="s">
        <v>257</v>
      </c>
      <c r="H264" s="67">
        <v>31400</v>
      </c>
    </row>
    <row r="265" spans="1:8" ht="14.25" customHeight="1" x14ac:dyDescent="0.3">
      <c r="A265" s="65" t="s">
        <v>866</v>
      </c>
      <c r="B265" s="65" t="s">
        <v>867</v>
      </c>
      <c r="C265" s="65" t="s">
        <v>328</v>
      </c>
      <c r="D265" s="66">
        <v>39389</v>
      </c>
      <c r="E265" s="65" t="s">
        <v>1723</v>
      </c>
      <c r="F265" s="65" t="s">
        <v>246</v>
      </c>
      <c r="G265" s="65" t="s">
        <v>252</v>
      </c>
      <c r="H265" s="67">
        <v>32400</v>
      </c>
    </row>
    <row r="266" spans="1:8" ht="14.25" customHeight="1" x14ac:dyDescent="0.3">
      <c r="A266" s="65" t="s">
        <v>868</v>
      </c>
      <c r="B266" s="65" t="s">
        <v>869</v>
      </c>
      <c r="C266" s="65" t="s">
        <v>438</v>
      </c>
      <c r="D266" s="66">
        <v>39402</v>
      </c>
      <c r="E266" s="65" t="s">
        <v>1723</v>
      </c>
      <c r="F266" s="65" t="s">
        <v>246</v>
      </c>
      <c r="G266" s="65" t="s">
        <v>252</v>
      </c>
      <c r="H266" s="67">
        <v>31600</v>
      </c>
    </row>
    <row r="267" spans="1:8" ht="14.25" customHeight="1" x14ac:dyDescent="0.3">
      <c r="A267" s="65" t="s">
        <v>870</v>
      </c>
      <c r="B267" s="65" t="s">
        <v>871</v>
      </c>
      <c r="C267" s="65" t="s">
        <v>872</v>
      </c>
      <c r="D267" s="66">
        <v>39415</v>
      </c>
      <c r="E267" s="65" t="s">
        <v>1727</v>
      </c>
      <c r="F267" s="65" t="s">
        <v>246</v>
      </c>
      <c r="G267" s="65" t="s">
        <v>252</v>
      </c>
      <c r="H267" s="67">
        <v>32600</v>
      </c>
    </row>
    <row r="268" spans="1:8" ht="14.25" customHeight="1" x14ac:dyDescent="0.3">
      <c r="A268" s="65" t="s">
        <v>873</v>
      </c>
      <c r="B268" s="65" t="s">
        <v>874</v>
      </c>
      <c r="C268" s="65" t="s">
        <v>589</v>
      </c>
      <c r="D268" s="66">
        <v>39428</v>
      </c>
      <c r="E268" s="65" t="s">
        <v>1723</v>
      </c>
      <c r="F268" s="65" t="s">
        <v>246</v>
      </c>
      <c r="G268" s="65" t="s">
        <v>533</v>
      </c>
      <c r="H268" s="67">
        <v>31800</v>
      </c>
    </row>
    <row r="269" spans="1:8" ht="14.25" customHeight="1" x14ac:dyDescent="0.3">
      <c r="A269" s="65" t="s">
        <v>875</v>
      </c>
      <c r="B269" s="65" t="s">
        <v>876</v>
      </c>
      <c r="C269" s="65" t="s">
        <v>877</v>
      </c>
      <c r="D269" s="66">
        <v>39441</v>
      </c>
      <c r="E269" s="65" t="s">
        <v>1723</v>
      </c>
      <c r="F269" s="65" t="s">
        <v>246</v>
      </c>
      <c r="G269" s="65" t="s">
        <v>292</v>
      </c>
      <c r="H269" s="67">
        <v>32800</v>
      </c>
    </row>
    <row r="270" spans="1:8" ht="14.25" customHeight="1" x14ac:dyDescent="0.3">
      <c r="A270" s="65" t="s">
        <v>878</v>
      </c>
      <c r="B270" s="65" t="s">
        <v>879</v>
      </c>
      <c r="C270" s="65" t="s">
        <v>466</v>
      </c>
      <c r="D270" s="66">
        <v>39454</v>
      </c>
      <c r="E270" s="65" t="s">
        <v>1727</v>
      </c>
      <c r="F270" s="65" t="s">
        <v>246</v>
      </c>
      <c r="G270" s="65" t="s">
        <v>300</v>
      </c>
      <c r="H270" s="67">
        <v>32000</v>
      </c>
    </row>
    <row r="271" spans="1:8" ht="14.25" customHeight="1" x14ac:dyDescent="0.3">
      <c r="A271" s="65" t="s">
        <v>880</v>
      </c>
      <c r="B271" s="65" t="s">
        <v>881</v>
      </c>
      <c r="C271" s="65" t="s">
        <v>626</v>
      </c>
      <c r="D271" s="66">
        <v>39467</v>
      </c>
      <c r="E271" s="65" t="s">
        <v>1724</v>
      </c>
      <c r="F271" s="65" t="s">
        <v>237</v>
      </c>
      <c r="G271" s="65" t="s">
        <v>296</v>
      </c>
      <c r="H271" s="67">
        <v>33000</v>
      </c>
    </row>
    <row r="272" spans="1:8" ht="14.25" customHeight="1" x14ac:dyDescent="0.3">
      <c r="A272" s="65" t="s">
        <v>882</v>
      </c>
      <c r="B272" s="65" t="s">
        <v>883</v>
      </c>
      <c r="C272" s="65" t="s">
        <v>884</v>
      </c>
      <c r="D272" s="66">
        <v>39480</v>
      </c>
      <c r="E272" s="65" t="s">
        <v>1723</v>
      </c>
      <c r="F272" s="65" t="s">
        <v>246</v>
      </c>
      <c r="G272" s="65" t="s">
        <v>343</v>
      </c>
      <c r="H272" s="67">
        <v>32200</v>
      </c>
    </row>
    <row r="273" spans="1:8" ht="14.25" customHeight="1" x14ac:dyDescent="0.3">
      <c r="A273" s="65" t="s">
        <v>885</v>
      </c>
      <c r="B273" s="65" t="s">
        <v>886</v>
      </c>
      <c r="C273" s="65" t="s">
        <v>383</v>
      </c>
      <c r="D273" s="66">
        <v>39493</v>
      </c>
      <c r="E273" s="65" t="s">
        <v>1723</v>
      </c>
      <c r="F273" s="65" t="s">
        <v>246</v>
      </c>
      <c r="G273" s="65" t="s">
        <v>252</v>
      </c>
      <c r="H273" s="67">
        <v>33200</v>
      </c>
    </row>
    <row r="274" spans="1:8" ht="14.25" customHeight="1" x14ac:dyDescent="0.3">
      <c r="A274" s="65" t="s">
        <v>887</v>
      </c>
      <c r="B274" s="65" t="s">
        <v>888</v>
      </c>
      <c r="C274" s="65" t="s">
        <v>427</v>
      </c>
      <c r="D274" s="66">
        <v>39506</v>
      </c>
      <c r="E274" s="65" t="s">
        <v>1723</v>
      </c>
      <c r="F274" s="65" t="s">
        <v>246</v>
      </c>
      <c r="G274" s="65" t="s">
        <v>257</v>
      </c>
      <c r="H274" s="67">
        <v>32400</v>
      </c>
    </row>
    <row r="275" spans="1:8" ht="14.25" customHeight="1" x14ac:dyDescent="0.3">
      <c r="A275" s="65" t="s">
        <v>889</v>
      </c>
      <c r="B275" s="65" t="s">
        <v>890</v>
      </c>
      <c r="C275" s="65" t="s">
        <v>441</v>
      </c>
      <c r="D275" s="66">
        <v>39519</v>
      </c>
      <c r="E275" s="65" t="s">
        <v>1725</v>
      </c>
      <c r="F275" s="65" t="s">
        <v>270</v>
      </c>
      <c r="G275" s="65" t="s">
        <v>257</v>
      </c>
      <c r="H275" s="67">
        <v>33400</v>
      </c>
    </row>
    <row r="276" spans="1:8" ht="14.25" customHeight="1" x14ac:dyDescent="0.3">
      <c r="A276" s="65" t="s">
        <v>891</v>
      </c>
      <c r="B276" s="65" t="s">
        <v>892</v>
      </c>
      <c r="C276" s="65" t="s">
        <v>640</v>
      </c>
      <c r="D276" s="66">
        <v>39532</v>
      </c>
      <c r="E276" s="65" t="s">
        <v>1725</v>
      </c>
      <c r="F276" s="65" t="s">
        <v>270</v>
      </c>
      <c r="G276" s="65" t="s">
        <v>367</v>
      </c>
      <c r="H276" s="67">
        <v>32600</v>
      </c>
    </row>
    <row r="277" spans="1:8" ht="14.25" customHeight="1" x14ac:dyDescent="0.3">
      <c r="A277" s="65" t="s">
        <v>893</v>
      </c>
      <c r="B277" s="65" t="s">
        <v>894</v>
      </c>
      <c r="C277" s="65" t="s">
        <v>288</v>
      </c>
      <c r="D277" s="66">
        <v>39545</v>
      </c>
      <c r="E277" s="65" t="s">
        <v>237</v>
      </c>
      <c r="F277" s="65" t="s">
        <v>237</v>
      </c>
      <c r="G277" s="65" t="s">
        <v>257</v>
      </c>
      <c r="H277" s="67">
        <v>33600</v>
      </c>
    </row>
    <row r="278" spans="1:8" ht="14.25" customHeight="1" x14ac:dyDescent="0.3">
      <c r="A278" s="65" t="s">
        <v>895</v>
      </c>
      <c r="B278" s="65" t="s">
        <v>896</v>
      </c>
      <c r="C278" s="65" t="s">
        <v>897</v>
      </c>
      <c r="D278" s="66">
        <v>39558</v>
      </c>
      <c r="E278" s="65" t="s">
        <v>237</v>
      </c>
      <c r="F278" s="65" t="s">
        <v>237</v>
      </c>
      <c r="G278" s="65" t="s">
        <v>367</v>
      </c>
      <c r="H278" s="67">
        <v>32800</v>
      </c>
    </row>
    <row r="279" spans="1:8" ht="14.25" customHeight="1" x14ac:dyDescent="0.3">
      <c r="A279" s="65" t="s">
        <v>898</v>
      </c>
      <c r="B279" s="65" t="s">
        <v>899</v>
      </c>
      <c r="C279" s="65" t="s">
        <v>640</v>
      </c>
      <c r="D279" s="66">
        <v>39571</v>
      </c>
      <c r="E279" s="65" t="s">
        <v>1723</v>
      </c>
      <c r="F279" s="65" t="s">
        <v>246</v>
      </c>
      <c r="G279" s="65" t="s">
        <v>367</v>
      </c>
      <c r="H279" s="67">
        <v>33800</v>
      </c>
    </row>
    <row r="280" spans="1:8" ht="14.25" customHeight="1" x14ac:dyDescent="0.3">
      <c r="A280" s="65" t="s">
        <v>900</v>
      </c>
      <c r="B280" s="65" t="s">
        <v>901</v>
      </c>
      <c r="C280" s="65" t="s">
        <v>736</v>
      </c>
      <c r="D280" s="66">
        <v>39584</v>
      </c>
      <c r="E280" s="65" t="s">
        <v>1723</v>
      </c>
      <c r="F280" s="65" t="s">
        <v>246</v>
      </c>
      <c r="G280" s="65" t="s">
        <v>501</v>
      </c>
      <c r="H280" s="67">
        <v>33000</v>
      </c>
    </row>
    <row r="281" spans="1:8" ht="14.25" customHeight="1" x14ac:dyDescent="0.3">
      <c r="A281" s="65" t="s">
        <v>902</v>
      </c>
      <c r="B281" s="65" t="s">
        <v>903</v>
      </c>
      <c r="C281" s="65" t="s">
        <v>295</v>
      </c>
      <c r="D281" s="66">
        <v>39597</v>
      </c>
      <c r="E281" s="65" t="s">
        <v>1725</v>
      </c>
      <c r="F281" s="65" t="s">
        <v>270</v>
      </c>
      <c r="G281" s="65" t="s">
        <v>296</v>
      </c>
      <c r="H281" s="67">
        <v>34000</v>
      </c>
    </row>
    <row r="282" spans="1:8" ht="14.25" customHeight="1" x14ac:dyDescent="0.3">
      <c r="A282" s="65" t="s">
        <v>904</v>
      </c>
      <c r="B282" s="65" t="s">
        <v>905</v>
      </c>
      <c r="C282" s="65" t="s">
        <v>611</v>
      </c>
      <c r="D282" s="66">
        <v>39610</v>
      </c>
      <c r="E282" s="65" t="s">
        <v>1730</v>
      </c>
      <c r="F282" s="65" t="s">
        <v>237</v>
      </c>
      <c r="G282" s="65" t="s">
        <v>257</v>
      </c>
      <c r="H282" s="67">
        <v>33200</v>
      </c>
    </row>
    <row r="283" spans="1:8" ht="14.25" customHeight="1" x14ac:dyDescent="0.3">
      <c r="A283" s="65" t="s">
        <v>906</v>
      </c>
      <c r="B283" s="65" t="s">
        <v>907</v>
      </c>
      <c r="C283" s="65" t="s">
        <v>626</v>
      </c>
      <c r="D283" s="66">
        <v>39623</v>
      </c>
      <c r="E283" s="65" t="s">
        <v>1734</v>
      </c>
      <c r="F283" s="65" t="s">
        <v>306</v>
      </c>
      <c r="G283" s="65" t="s">
        <v>296</v>
      </c>
      <c r="H283" s="67">
        <v>34200</v>
      </c>
    </row>
    <row r="284" spans="1:8" ht="14.25" customHeight="1" x14ac:dyDescent="0.3">
      <c r="A284" s="65" t="s">
        <v>908</v>
      </c>
      <c r="B284" s="65" t="s">
        <v>909</v>
      </c>
      <c r="C284" s="65" t="s">
        <v>448</v>
      </c>
      <c r="D284" s="66">
        <v>39636</v>
      </c>
      <c r="E284" s="65" t="s">
        <v>1731</v>
      </c>
      <c r="F284" s="65" t="s">
        <v>449</v>
      </c>
      <c r="G284" s="65" t="s">
        <v>252</v>
      </c>
      <c r="H284" s="67">
        <v>33400</v>
      </c>
    </row>
    <row r="285" spans="1:8" ht="14.25" customHeight="1" x14ac:dyDescent="0.3">
      <c r="A285" s="65" t="s">
        <v>910</v>
      </c>
      <c r="B285" s="65" t="s">
        <v>911</v>
      </c>
      <c r="C285" s="65" t="s">
        <v>912</v>
      </c>
      <c r="D285" s="66">
        <v>39649</v>
      </c>
      <c r="E285" s="65" t="s">
        <v>1723</v>
      </c>
      <c r="F285" s="65" t="s">
        <v>246</v>
      </c>
      <c r="G285" s="65" t="s">
        <v>300</v>
      </c>
      <c r="H285" s="67">
        <v>34400</v>
      </c>
    </row>
    <row r="286" spans="1:8" ht="14.25" customHeight="1" x14ac:dyDescent="0.3">
      <c r="A286" s="65" t="s">
        <v>913</v>
      </c>
      <c r="B286" s="65" t="s">
        <v>914</v>
      </c>
      <c r="C286" s="65" t="s">
        <v>915</v>
      </c>
      <c r="D286" s="66">
        <v>39662</v>
      </c>
      <c r="E286" s="65" t="s">
        <v>237</v>
      </c>
      <c r="F286" s="65" t="s">
        <v>237</v>
      </c>
      <c r="G286" s="65" t="s">
        <v>257</v>
      </c>
      <c r="H286" s="67">
        <v>33600</v>
      </c>
    </row>
    <row r="287" spans="1:8" ht="14.25" customHeight="1" x14ac:dyDescent="0.3">
      <c r="A287" s="65" t="s">
        <v>916</v>
      </c>
      <c r="B287" s="65" t="s">
        <v>917</v>
      </c>
      <c r="C287" s="65" t="s">
        <v>335</v>
      </c>
      <c r="D287" s="66">
        <v>39675</v>
      </c>
      <c r="E287" s="65" t="s">
        <v>237</v>
      </c>
      <c r="F287" s="65" t="s">
        <v>237</v>
      </c>
      <c r="G287" s="65" t="s">
        <v>252</v>
      </c>
      <c r="H287" s="67">
        <v>34600</v>
      </c>
    </row>
    <row r="288" spans="1:8" ht="14.25" customHeight="1" x14ac:dyDescent="0.3">
      <c r="A288" s="65" t="s">
        <v>918</v>
      </c>
      <c r="B288" s="65" t="s">
        <v>919</v>
      </c>
      <c r="C288" s="65" t="s">
        <v>915</v>
      </c>
      <c r="D288" s="66">
        <v>39688</v>
      </c>
      <c r="E288" s="65" t="s">
        <v>1725</v>
      </c>
      <c r="F288" s="65" t="s">
        <v>270</v>
      </c>
      <c r="G288" s="65" t="s">
        <v>257</v>
      </c>
      <c r="H288" s="67">
        <v>33800</v>
      </c>
    </row>
    <row r="289" spans="1:8" ht="14.25" customHeight="1" x14ac:dyDescent="0.3">
      <c r="A289" s="65" t="s">
        <v>920</v>
      </c>
      <c r="B289" s="65" t="s">
        <v>921</v>
      </c>
      <c r="C289" s="65" t="s">
        <v>528</v>
      </c>
      <c r="D289" s="66">
        <v>39701</v>
      </c>
      <c r="E289" s="65" t="s">
        <v>1725</v>
      </c>
      <c r="F289" s="65" t="s">
        <v>270</v>
      </c>
      <c r="G289" s="65" t="s">
        <v>257</v>
      </c>
      <c r="H289" s="67">
        <v>34800</v>
      </c>
    </row>
    <row r="290" spans="1:8" ht="14.25" customHeight="1" x14ac:dyDescent="0.3">
      <c r="A290" s="65" t="s">
        <v>922</v>
      </c>
      <c r="B290" s="65" t="s">
        <v>923</v>
      </c>
      <c r="C290" s="65" t="s">
        <v>725</v>
      </c>
      <c r="D290" s="66">
        <v>39714</v>
      </c>
      <c r="E290" s="65" t="s">
        <v>1725</v>
      </c>
      <c r="F290" s="65" t="s">
        <v>270</v>
      </c>
      <c r="G290" s="65" t="s">
        <v>367</v>
      </c>
      <c r="H290" s="67">
        <v>34000</v>
      </c>
    </row>
    <row r="291" spans="1:8" ht="14.25" customHeight="1" x14ac:dyDescent="0.3">
      <c r="A291" s="65" t="s">
        <v>924</v>
      </c>
      <c r="B291" s="65" t="s">
        <v>925</v>
      </c>
      <c r="C291" s="65" t="s">
        <v>295</v>
      </c>
      <c r="D291" s="66">
        <v>39727</v>
      </c>
      <c r="E291" s="65" t="s">
        <v>1725</v>
      </c>
      <c r="F291" s="65" t="s">
        <v>270</v>
      </c>
      <c r="G291" s="65" t="s">
        <v>296</v>
      </c>
      <c r="H291" s="67">
        <v>35000</v>
      </c>
    </row>
    <row r="292" spans="1:8" ht="14.25" customHeight="1" x14ac:dyDescent="0.3">
      <c r="A292" s="65" t="s">
        <v>926</v>
      </c>
      <c r="B292" s="65" t="s">
        <v>927</v>
      </c>
      <c r="C292" s="65" t="s">
        <v>872</v>
      </c>
      <c r="D292" s="66">
        <v>39740</v>
      </c>
      <c r="E292" s="65" t="s">
        <v>1725</v>
      </c>
      <c r="F292" s="65" t="s">
        <v>270</v>
      </c>
      <c r="G292" s="65" t="s">
        <v>252</v>
      </c>
      <c r="H292" s="67">
        <v>34200</v>
      </c>
    </row>
    <row r="293" spans="1:8" ht="14.25" customHeight="1" x14ac:dyDescent="0.3">
      <c r="A293" s="65" t="s">
        <v>928</v>
      </c>
      <c r="B293" s="65" t="s">
        <v>929</v>
      </c>
      <c r="C293" s="65" t="s">
        <v>656</v>
      </c>
      <c r="D293" s="66">
        <v>39753</v>
      </c>
      <c r="E293" s="65" t="s">
        <v>1725</v>
      </c>
      <c r="F293" s="65" t="s">
        <v>270</v>
      </c>
      <c r="G293" s="65" t="s">
        <v>285</v>
      </c>
      <c r="H293" s="67">
        <v>35200</v>
      </c>
    </row>
    <row r="294" spans="1:8" ht="14.25" customHeight="1" x14ac:dyDescent="0.3">
      <c r="A294" s="65" t="s">
        <v>930</v>
      </c>
      <c r="B294" s="65" t="s">
        <v>931</v>
      </c>
      <c r="C294" s="65" t="s">
        <v>801</v>
      </c>
      <c r="D294" s="66">
        <v>39766</v>
      </c>
      <c r="E294" s="65" t="s">
        <v>1730</v>
      </c>
      <c r="F294" s="65" t="s">
        <v>237</v>
      </c>
      <c r="G294" s="65" t="s">
        <v>296</v>
      </c>
      <c r="H294" s="67">
        <v>34400</v>
      </c>
    </row>
    <row r="295" spans="1:8" ht="14.25" customHeight="1" x14ac:dyDescent="0.3">
      <c r="A295" s="65" t="s">
        <v>932</v>
      </c>
      <c r="B295" s="65" t="s">
        <v>933</v>
      </c>
      <c r="C295" s="65" t="s">
        <v>514</v>
      </c>
      <c r="D295" s="66">
        <v>39779</v>
      </c>
      <c r="E295" s="65" t="s">
        <v>1723</v>
      </c>
      <c r="F295" s="65" t="s">
        <v>246</v>
      </c>
      <c r="G295" s="65" t="s">
        <v>257</v>
      </c>
      <c r="H295" s="67">
        <v>35400</v>
      </c>
    </row>
    <row r="296" spans="1:8" ht="14.25" customHeight="1" x14ac:dyDescent="0.3">
      <c r="A296" s="65" t="s">
        <v>934</v>
      </c>
      <c r="B296" s="65" t="s">
        <v>935</v>
      </c>
      <c r="C296" s="65" t="s">
        <v>514</v>
      </c>
      <c r="D296" s="66">
        <v>39792</v>
      </c>
      <c r="E296" s="65" t="s">
        <v>1727</v>
      </c>
      <c r="F296" s="65" t="s">
        <v>246</v>
      </c>
      <c r="G296" s="65" t="s">
        <v>257</v>
      </c>
      <c r="H296" s="67">
        <v>34600</v>
      </c>
    </row>
    <row r="297" spans="1:8" ht="14.25" customHeight="1" x14ac:dyDescent="0.3">
      <c r="A297" s="65" t="s">
        <v>936</v>
      </c>
      <c r="B297" s="65" t="s">
        <v>937</v>
      </c>
      <c r="C297" s="65" t="s">
        <v>288</v>
      </c>
      <c r="D297" s="66">
        <v>39805</v>
      </c>
      <c r="E297" s="65" t="s">
        <v>1725</v>
      </c>
      <c r="F297" s="65" t="s">
        <v>270</v>
      </c>
      <c r="G297" s="65" t="s">
        <v>257</v>
      </c>
      <c r="H297" s="67">
        <v>35600</v>
      </c>
    </row>
    <row r="298" spans="1:8" ht="14.25" customHeight="1" x14ac:dyDescent="0.3">
      <c r="A298" s="65" t="s">
        <v>938</v>
      </c>
      <c r="B298" s="65" t="s">
        <v>939</v>
      </c>
      <c r="C298" s="65" t="s">
        <v>553</v>
      </c>
      <c r="D298" s="66">
        <v>39818</v>
      </c>
      <c r="E298" s="65" t="s">
        <v>1733</v>
      </c>
      <c r="F298" s="65" t="s">
        <v>473</v>
      </c>
      <c r="G298" s="65" t="s">
        <v>378</v>
      </c>
      <c r="H298" s="67">
        <v>34800</v>
      </c>
    </row>
    <row r="299" spans="1:8" ht="14.25" customHeight="1" x14ac:dyDescent="0.3">
      <c r="A299" s="65" t="s">
        <v>940</v>
      </c>
      <c r="B299" s="65" t="s">
        <v>941</v>
      </c>
      <c r="C299" s="65" t="s">
        <v>733</v>
      </c>
      <c r="D299" s="66">
        <v>39831</v>
      </c>
      <c r="E299" s="65" t="s">
        <v>320</v>
      </c>
      <c r="F299" s="65" t="s">
        <v>320</v>
      </c>
      <c r="G299" s="65" t="s">
        <v>367</v>
      </c>
      <c r="H299" s="67">
        <v>35800</v>
      </c>
    </row>
    <row r="300" spans="1:8" ht="14.25" customHeight="1" x14ac:dyDescent="0.3">
      <c r="A300" s="65" t="s">
        <v>942</v>
      </c>
      <c r="B300" s="65" t="s">
        <v>943</v>
      </c>
      <c r="C300" s="65" t="s">
        <v>466</v>
      </c>
      <c r="D300" s="66">
        <v>39844</v>
      </c>
      <c r="E300" s="65" t="s">
        <v>1725</v>
      </c>
      <c r="F300" s="65" t="s">
        <v>270</v>
      </c>
      <c r="G300" s="65" t="s">
        <v>300</v>
      </c>
      <c r="H300" s="67">
        <v>35000</v>
      </c>
    </row>
    <row r="301" spans="1:8" ht="14.25" customHeight="1" x14ac:dyDescent="0.3">
      <c r="A301" s="65" t="s">
        <v>944</v>
      </c>
      <c r="B301" s="65" t="s">
        <v>945</v>
      </c>
      <c r="C301" s="65" t="s">
        <v>288</v>
      </c>
      <c r="D301" s="66">
        <v>39857</v>
      </c>
      <c r="E301" s="65" t="s">
        <v>1725</v>
      </c>
      <c r="F301" s="65" t="s">
        <v>270</v>
      </c>
      <c r="G301" s="65" t="s">
        <v>257</v>
      </c>
      <c r="H301" s="67">
        <v>36000</v>
      </c>
    </row>
    <row r="302" spans="1:8" ht="14.25" customHeight="1" x14ac:dyDescent="0.3">
      <c r="A302" s="65" t="s">
        <v>946</v>
      </c>
      <c r="B302" s="65" t="s">
        <v>947</v>
      </c>
      <c r="C302" s="65" t="s">
        <v>448</v>
      </c>
      <c r="D302" s="66">
        <v>39870</v>
      </c>
      <c r="E302" s="65" t="s">
        <v>1725</v>
      </c>
      <c r="F302" s="65" t="s">
        <v>270</v>
      </c>
      <c r="G302" s="65" t="s">
        <v>252</v>
      </c>
      <c r="H302" s="67">
        <v>35200</v>
      </c>
    </row>
    <row r="303" spans="1:8" ht="14.25" customHeight="1" x14ac:dyDescent="0.3">
      <c r="A303" s="65" t="s">
        <v>948</v>
      </c>
      <c r="B303" s="65" t="s">
        <v>949</v>
      </c>
      <c r="C303" s="65" t="s">
        <v>950</v>
      </c>
      <c r="D303" s="66">
        <v>39883</v>
      </c>
      <c r="E303" s="65" t="s">
        <v>1727</v>
      </c>
      <c r="F303" s="65" t="s">
        <v>246</v>
      </c>
      <c r="G303" s="65" t="s">
        <v>257</v>
      </c>
      <c r="H303" s="67">
        <v>36200</v>
      </c>
    </row>
    <row r="304" spans="1:8" ht="14.25" customHeight="1" x14ac:dyDescent="0.3">
      <c r="A304" s="65" t="s">
        <v>951</v>
      </c>
      <c r="B304" s="65" t="s">
        <v>952</v>
      </c>
      <c r="C304" s="65" t="s">
        <v>953</v>
      </c>
      <c r="D304" s="66">
        <v>39896</v>
      </c>
      <c r="E304" s="65" t="s">
        <v>1723</v>
      </c>
      <c r="F304" s="65" t="s">
        <v>246</v>
      </c>
      <c r="G304" s="65" t="s">
        <v>285</v>
      </c>
      <c r="H304" s="67">
        <v>35400</v>
      </c>
    </row>
    <row r="305" spans="1:8" ht="14.25" customHeight="1" x14ac:dyDescent="0.3">
      <c r="A305" s="65" t="s">
        <v>954</v>
      </c>
      <c r="B305" s="65" t="s">
        <v>955</v>
      </c>
      <c r="C305" s="65" t="s">
        <v>279</v>
      </c>
      <c r="D305" s="66">
        <v>39909</v>
      </c>
      <c r="E305" s="65" t="s">
        <v>1727</v>
      </c>
      <c r="F305" s="65" t="s">
        <v>246</v>
      </c>
      <c r="G305" s="65" t="s">
        <v>257</v>
      </c>
      <c r="H305" s="67">
        <v>36400</v>
      </c>
    </row>
    <row r="306" spans="1:8" ht="14.25" customHeight="1" x14ac:dyDescent="0.3">
      <c r="A306" s="65" t="s">
        <v>956</v>
      </c>
      <c r="B306" s="65" t="s">
        <v>957</v>
      </c>
      <c r="C306" s="65" t="s">
        <v>528</v>
      </c>
      <c r="D306" s="66">
        <v>39922</v>
      </c>
      <c r="E306" s="65" t="s">
        <v>1723</v>
      </c>
      <c r="F306" s="65" t="s">
        <v>246</v>
      </c>
      <c r="G306" s="65" t="s">
        <v>257</v>
      </c>
      <c r="H306" s="67">
        <v>35600</v>
      </c>
    </row>
    <row r="307" spans="1:8" ht="14.25" customHeight="1" x14ac:dyDescent="0.3">
      <c r="A307" s="65" t="s">
        <v>958</v>
      </c>
      <c r="B307" s="65" t="s">
        <v>959</v>
      </c>
      <c r="C307" s="65" t="s">
        <v>528</v>
      </c>
      <c r="D307" s="66">
        <v>39935</v>
      </c>
      <c r="E307" s="65" t="s">
        <v>1725</v>
      </c>
      <c r="F307" s="65" t="s">
        <v>270</v>
      </c>
      <c r="G307" s="65" t="s">
        <v>257</v>
      </c>
      <c r="H307" s="67">
        <v>36600</v>
      </c>
    </row>
    <row r="308" spans="1:8" ht="14.25" customHeight="1" x14ac:dyDescent="0.3">
      <c r="A308" s="65" t="s">
        <v>960</v>
      </c>
      <c r="B308" s="65" t="s">
        <v>961</v>
      </c>
      <c r="C308" s="65" t="s">
        <v>466</v>
      </c>
      <c r="D308" s="66">
        <v>39948</v>
      </c>
      <c r="E308" s="65" t="s">
        <v>1723</v>
      </c>
      <c r="F308" s="65" t="s">
        <v>246</v>
      </c>
      <c r="G308" s="65" t="s">
        <v>300</v>
      </c>
      <c r="H308" s="67">
        <v>35800</v>
      </c>
    </row>
    <row r="309" spans="1:8" ht="14.25" customHeight="1" x14ac:dyDescent="0.3">
      <c r="A309" s="65" t="s">
        <v>962</v>
      </c>
      <c r="B309" s="65" t="s">
        <v>963</v>
      </c>
      <c r="C309" s="65" t="s">
        <v>725</v>
      </c>
      <c r="D309" s="66">
        <v>39961</v>
      </c>
      <c r="E309" s="65" t="s">
        <v>320</v>
      </c>
      <c r="F309" s="65" t="s">
        <v>320</v>
      </c>
      <c r="G309" s="65" t="s">
        <v>367</v>
      </c>
      <c r="H309" s="67">
        <v>36800</v>
      </c>
    </row>
    <row r="310" spans="1:8" ht="14.25" customHeight="1" x14ac:dyDescent="0.3">
      <c r="A310" s="65" t="s">
        <v>964</v>
      </c>
      <c r="B310" s="65" t="s">
        <v>965</v>
      </c>
      <c r="C310" s="65" t="s">
        <v>643</v>
      </c>
      <c r="D310" s="66">
        <v>39974</v>
      </c>
      <c r="E310" s="65" t="s">
        <v>1725</v>
      </c>
      <c r="F310" s="65" t="s">
        <v>270</v>
      </c>
      <c r="G310" s="65" t="s">
        <v>367</v>
      </c>
      <c r="H310" s="67">
        <v>36000</v>
      </c>
    </row>
    <row r="311" spans="1:8" ht="14.25" customHeight="1" x14ac:dyDescent="0.3">
      <c r="A311" s="65" t="s">
        <v>966</v>
      </c>
      <c r="B311" s="65" t="s">
        <v>967</v>
      </c>
      <c r="C311" s="65" t="s">
        <v>288</v>
      </c>
      <c r="D311" s="66">
        <v>39987</v>
      </c>
      <c r="E311" s="65" t="s">
        <v>1725</v>
      </c>
      <c r="F311" s="65" t="s">
        <v>270</v>
      </c>
      <c r="G311" s="65" t="s">
        <v>257</v>
      </c>
      <c r="H311" s="67">
        <v>37000</v>
      </c>
    </row>
    <row r="312" spans="1:8" ht="14.25" customHeight="1" x14ac:dyDescent="0.3">
      <c r="A312" s="65" t="s">
        <v>968</v>
      </c>
      <c r="B312" s="65" t="s">
        <v>969</v>
      </c>
      <c r="C312" s="65" t="s">
        <v>970</v>
      </c>
      <c r="D312" s="66">
        <v>40000</v>
      </c>
      <c r="E312" s="65" t="s">
        <v>1723</v>
      </c>
      <c r="F312" s="65" t="s">
        <v>246</v>
      </c>
      <c r="G312" s="65" t="s">
        <v>252</v>
      </c>
      <c r="H312" s="67">
        <v>36200</v>
      </c>
    </row>
    <row r="313" spans="1:8" ht="14.25" customHeight="1" x14ac:dyDescent="0.3">
      <c r="A313" s="65" t="s">
        <v>971</v>
      </c>
      <c r="B313" s="65" t="s">
        <v>972</v>
      </c>
      <c r="C313" s="65" t="s">
        <v>288</v>
      </c>
      <c r="D313" s="66">
        <v>40013</v>
      </c>
      <c r="E313" s="65" t="s">
        <v>1725</v>
      </c>
      <c r="F313" s="65" t="s">
        <v>270</v>
      </c>
      <c r="G313" s="65" t="s">
        <v>257</v>
      </c>
      <c r="H313" s="67">
        <v>37200</v>
      </c>
    </row>
    <row r="314" spans="1:8" ht="14.25" customHeight="1" x14ac:dyDescent="0.3">
      <c r="A314" s="65" t="s">
        <v>973</v>
      </c>
      <c r="B314" s="65" t="s">
        <v>974</v>
      </c>
      <c r="C314" s="65" t="s">
        <v>975</v>
      </c>
      <c r="D314" s="66">
        <v>40026</v>
      </c>
      <c r="E314" s="65" t="s">
        <v>1725</v>
      </c>
      <c r="F314" s="65" t="s">
        <v>270</v>
      </c>
      <c r="G314" s="65" t="s">
        <v>271</v>
      </c>
      <c r="H314" s="67">
        <v>36400</v>
      </c>
    </row>
    <row r="315" spans="1:8" ht="14.25" customHeight="1" x14ac:dyDescent="0.3">
      <c r="A315" s="65" t="s">
        <v>976</v>
      </c>
      <c r="B315" s="65" t="s">
        <v>977</v>
      </c>
      <c r="C315" s="65" t="s">
        <v>611</v>
      </c>
      <c r="D315" s="66">
        <v>40039</v>
      </c>
      <c r="E315" s="65" t="s">
        <v>1727</v>
      </c>
      <c r="F315" s="65" t="s">
        <v>246</v>
      </c>
      <c r="G315" s="65" t="s">
        <v>257</v>
      </c>
      <c r="H315" s="67">
        <v>37400</v>
      </c>
    </row>
    <row r="316" spans="1:8" ht="14.25" customHeight="1" x14ac:dyDescent="0.3">
      <c r="A316" s="65" t="s">
        <v>978</v>
      </c>
      <c r="B316" s="65" t="s">
        <v>979</v>
      </c>
      <c r="C316" s="65" t="s">
        <v>388</v>
      </c>
      <c r="D316" s="66">
        <v>40052</v>
      </c>
      <c r="E316" s="65" t="s">
        <v>1730</v>
      </c>
      <c r="F316" s="65" t="s">
        <v>237</v>
      </c>
      <c r="G316" s="65" t="s">
        <v>257</v>
      </c>
      <c r="H316" s="67">
        <v>36600</v>
      </c>
    </row>
    <row r="317" spans="1:8" ht="14.25" customHeight="1" x14ac:dyDescent="0.3">
      <c r="A317" s="65" t="s">
        <v>980</v>
      </c>
      <c r="B317" s="65" t="s">
        <v>981</v>
      </c>
      <c r="C317" s="65" t="s">
        <v>357</v>
      </c>
      <c r="D317" s="66">
        <v>40065</v>
      </c>
      <c r="E317" s="65" t="s">
        <v>1723</v>
      </c>
      <c r="F317" s="65" t="s">
        <v>246</v>
      </c>
      <c r="G317" s="65" t="s">
        <v>257</v>
      </c>
      <c r="H317" s="67">
        <v>37600</v>
      </c>
    </row>
    <row r="318" spans="1:8" ht="14.25" customHeight="1" x14ac:dyDescent="0.3">
      <c r="A318" s="65" t="s">
        <v>982</v>
      </c>
      <c r="B318" s="65" t="s">
        <v>983</v>
      </c>
      <c r="C318" s="65" t="s">
        <v>984</v>
      </c>
      <c r="D318" s="66">
        <v>40078</v>
      </c>
      <c r="E318" s="65" t="s">
        <v>1725</v>
      </c>
      <c r="F318" s="65" t="s">
        <v>270</v>
      </c>
      <c r="G318" s="65" t="s">
        <v>271</v>
      </c>
      <c r="H318" s="67">
        <v>36800</v>
      </c>
    </row>
    <row r="319" spans="1:8" ht="14.25" customHeight="1" x14ac:dyDescent="0.3">
      <c r="A319" s="65" t="s">
        <v>985</v>
      </c>
      <c r="B319" s="65" t="s">
        <v>986</v>
      </c>
      <c r="C319" s="65" t="s">
        <v>611</v>
      </c>
      <c r="D319" s="66">
        <v>40091</v>
      </c>
      <c r="E319" s="65" t="s">
        <v>1725</v>
      </c>
      <c r="F319" s="65" t="s">
        <v>270</v>
      </c>
      <c r="G319" s="65" t="s">
        <v>257</v>
      </c>
      <c r="H319" s="67">
        <v>37800</v>
      </c>
    </row>
    <row r="320" spans="1:8" ht="14.25" customHeight="1" x14ac:dyDescent="0.3">
      <c r="A320" s="65" t="s">
        <v>987</v>
      </c>
      <c r="B320" s="65" t="s">
        <v>988</v>
      </c>
      <c r="C320" s="65" t="s">
        <v>989</v>
      </c>
      <c r="D320" s="66">
        <v>40104</v>
      </c>
      <c r="E320" s="65" t="s">
        <v>1725</v>
      </c>
      <c r="F320" s="65" t="s">
        <v>270</v>
      </c>
      <c r="G320" s="65" t="s">
        <v>257</v>
      </c>
      <c r="H320" s="67">
        <v>37000</v>
      </c>
    </row>
    <row r="321" spans="1:8" ht="14.25" customHeight="1" x14ac:dyDescent="0.3">
      <c r="A321" s="65" t="s">
        <v>990</v>
      </c>
      <c r="B321" s="65" t="s">
        <v>991</v>
      </c>
      <c r="C321" s="65" t="s">
        <v>992</v>
      </c>
      <c r="D321" s="66">
        <v>40117</v>
      </c>
      <c r="E321" s="65" t="s">
        <v>1725</v>
      </c>
      <c r="F321" s="65" t="s">
        <v>270</v>
      </c>
      <c r="G321" s="65" t="s">
        <v>257</v>
      </c>
      <c r="H321" s="67">
        <v>38000</v>
      </c>
    </row>
    <row r="322" spans="1:8" ht="14.25" customHeight="1" x14ac:dyDescent="0.3">
      <c r="A322" s="65" t="s">
        <v>993</v>
      </c>
      <c r="B322" s="65" t="s">
        <v>994</v>
      </c>
      <c r="C322" s="65" t="s">
        <v>776</v>
      </c>
      <c r="D322" s="66">
        <v>40130</v>
      </c>
      <c r="E322" s="65" t="s">
        <v>1725</v>
      </c>
      <c r="F322" s="65" t="s">
        <v>270</v>
      </c>
      <c r="G322" s="65" t="s">
        <v>533</v>
      </c>
      <c r="H322" s="67">
        <v>37200</v>
      </c>
    </row>
    <row r="323" spans="1:8" ht="14.25" customHeight="1" x14ac:dyDescent="0.3">
      <c r="A323" s="65" t="s">
        <v>995</v>
      </c>
      <c r="B323" s="65" t="s">
        <v>996</v>
      </c>
      <c r="C323" s="65" t="s">
        <v>335</v>
      </c>
      <c r="D323" s="66">
        <v>40143</v>
      </c>
      <c r="E323" s="65" t="s">
        <v>1725</v>
      </c>
      <c r="F323" s="65" t="s">
        <v>270</v>
      </c>
      <c r="G323" s="65" t="s">
        <v>252</v>
      </c>
      <c r="H323" s="67">
        <v>38200</v>
      </c>
    </row>
    <row r="324" spans="1:8" ht="14.25" customHeight="1" x14ac:dyDescent="0.3">
      <c r="A324" s="65" t="s">
        <v>997</v>
      </c>
      <c r="B324" s="65" t="s">
        <v>998</v>
      </c>
      <c r="C324" s="65" t="s">
        <v>427</v>
      </c>
      <c r="D324" s="66">
        <v>40156</v>
      </c>
      <c r="E324" s="65" t="s">
        <v>1727</v>
      </c>
      <c r="F324" s="65" t="s">
        <v>246</v>
      </c>
      <c r="G324" s="65" t="s">
        <v>257</v>
      </c>
      <c r="H324" s="67">
        <v>37400</v>
      </c>
    </row>
    <row r="325" spans="1:8" ht="14.25" customHeight="1" x14ac:dyDescent="0.3">
      <c r="A325" s="65" t="s">
        <v>999</v>
      </c>
      <c r="B325" s="65" t="s">
        <v>1000</v>
      </c>
      <c r="C325" s="65" t="s">
        <v>383</v>
      </c>
      <c r="D325" s="66">
        <v>40169</v>
      </c>
      <c r="E325" s="65" t="s">
        <v>1727</v>
      </c>
      <c r="F325" s="65" t="s">
        <v>246</v>
      </c>
      <c r="G325" s="65" t="s">
        <v>252</v>
      </c>
      <c r="H325" s="67">
        <v>38400</v>
      </c>
    </row>
    <row r="326" spans="1:8" ht="14.25" customHeight="1" x14ac:dyDescent="0.3">
      <c r="A326" s="65" t="s">
        <v>1001</v>
      </c>
      <c r="B326" s="65" t="s">
        <v>1002</v>
      </c>
      <c r="C326" s="65" t="s">
        <v>1003</v>
      </c>
      <c r="D326" s="66">
        <v>40182</v>
      </c>
      <c r="E326" s="65" t="s">
        <v>1723</v>
      </c>
      <c r="F326" s="65" t="s">
        <v>246</v>
      </c>
      <c r="G326" s="65" t="s">
        <v>494</v>
      </c>
      <c r="H326" s="67">
        <v>37600</v>
      </c>
    </row>
    <row r="327" spans="1:8" ht="14.25" customHeight="1" x14ac:dyDescent="0.3">
      <c r="A327" s="65" t="s">
        <v>1004</v>
      </c>
      <c r="B327" s="65" t="s">
        <v>1005</v>
      </c>
      <c r="C327" s="65" t="s">
        <v>357</v>
      </c>
      <c r="D327" s="66">
        <v>40195</v>
      </c>
      <c r="E327" s="65" t="s">
        <v>1725</v>
      </c>
      <c r="F327" s="65" t="s">
        <v>270</v>
      </c>
      <c r="G327" s="65" t="s">
        <v>257</v>
      </c>
      <c r="H327" s="67">
        <v>38600</v>
      </c>
    </row>
    <row r="328" spans="1:8" ht="14.25" customHeight="1" x14ac:dyDescent="0.3">
      <c r="A328" s="65" t="s">
        <v>1006</v>
      </c>
      <c r="B328" s="65" t="s">
        <v>1007</v>
      </c>
      <c r="C328" s="65" t="s">
        <v>357</v>
      </c>
      <c r="D328" s="66">
        <v>40208</v>
      </c>
      <c r="E328" s="65" t="s">
        <v>1726</v>
      </c>
      <c r="F328" s="65" t="s">
        <v>284</v>
      </c>
      <c r="G328" s="65" t="s">
        <v>257</v>
      </c>
      <c r="H328" s="67">
        <v>37800</v>
      </c>
    </row>
    <row r="329" spans="1:8" ht="14.25" customHeight="1" x14ac:dyDescent="0.3">
      <c r="A329" s="65" t="s">
        <v>1008</v>
      </c>
      <c r="B329" s="65" t="s">
        <v>1009</v>
      </c>
      <c r="C329" s="65" t="s">
        <v>288</v>
      </c>
      <c r="D329" s="66">
        <v>40221</v>
      </c>
      <c r="E329" s="65" t="s">
        <v>1725</v>
      </c>
      <c r="F329" s="65" t="s">
        <v>270</v>
      </c>
      <c r="G329" s="65" t="s">
        <v>257</v>
      </c>
      <c r="H329" s="67">
        <v>38800</v>
      </c>
    </row>
    <row r="330" spans="1:8" ht="14.25" customHeight="1" x14ac:dyDescent="0.3">
      <c r="A330" s="65" t="s">
        <v>1010</v>
      </c>
      <c r="B330" s="65" t="s">
        <v>1011</v>
      </c>
      <c r="C330" s="65" t="s">
        <v>1012</v>
      </c>
      <c r="D330" s="66">
        <v>40234</v>
      </c>
      <c r="E330" s="65" t="s">
        <v>1723</v>
      </c>
      <c r="F330" s="65" t="s">
        <v>246</v>
      </c>
      <c r="G330" s="65" t="s">
        <v>367</v>
      </c>
      <c r="H330" s="67">
        <v>38000</v>
      </c>
    </row>
    <row r="331" spans="1:8" ht="14.25" customHeight="1" x14ac:dyDescent="0.3">
      <c r="A331" s="65" t="s">
        <v>1013</v>
      </c>
      <c r="B331" s="65" t="s">
        <v>1014</v>
      </c>
      <c r="C331" s="65" t="s">
        <v>1015</v>
      </c>
      <c r="D331" s="66">
        <v>40247</v>
      </c>
      <c r="E331" s="65" t="s">
        <v>1725</v>
      </c>
      <c r="F331" s="65" t="s">
        <v>270</v>
      </c>
      <c r="G331" s="65" t="s">
        <v>501</v>
      </c>
      <c r="H331" s="67">
        <v>39000</v>
      </c>
    </row>
    <row r="332" spans="1:8" ht="14.25" customHeight="1" x14ac:dyDescent="0.3">
      <c r="A332" s="65" t="s">
        <v>1016</v>
      </c>
      <c r="B332" s="65" t="s">
        <v>1017</v>
      </c>
      <c r="C332" s="65" t="s">
        <v>528</v>
      </c>
      <c r="D332" s="66">
        <v>40260</v>
      </c>
      <c r="E332" s="65" t="s">
        <v>234</v>
      </c>
      <c r="F332" s="65" t="s">
        <v>236</v>
      </c>
      <c r="G332" s="65" t="s">
        <v>257</v>
      </c>
      <c r="H332" s="67">
        <v>38200</v>
      </c>
    </row>
    <row r="333" spans="1:8" ht="14.25" customHeight="1" x14ac:dyDescent="0.3">
      <c r="A333" s="65" t="s">
        <v>1018</v>
      </c>
      <c r="B333" s="65" t="s">
        <v>1019</v>
      </c>
      <c r="C333" s="65" t="s">
        <v>288</v>
      </c>
      <c r="D333" s="66">
        <v>40273</v>
      </c>
      <c r="E333" s="65" t="s">
        <v>1723</v>
      </c>
      <c r="F333" s="65" t="s">
        <v>246</v>
      </c>
      <c r="G333" s="65" t="s">
        <v>257</v>
      </c>
      <c r="H333" s="67">
        <v>39200</v>
      </c>
    </row>
    <row r="334" spans="1:8" ht="14.25" customHeight="1" x14ac:dyDescent="0.3">
      <c r="A334" s="65" t="s">
        <v>1020</v>
      </c>
      <c r="B334" s="65" t="s">
        <v>1021</v>
      </c>
      <c r="C334" s="65" t="s">
        <v>801</v>
      </c>
      <c r="D334" s="66">
        <v>40286</v>
      </c>
      <c r="E334" s="65" t="s">
        <v>1723</v>
      </c>
      <c r="F334" s="65" t="s">
        <v>246</v>
      </c>
      <c r="G334" s="65" t="s">
        <v>296</v>
      </c>
      <c r="H334" s="67">
        <v>38400</v>
      </c>
    </row>
    <row r="335" spans="1:8" ht="14.25" customHeight="1" x14ac:dyDescent="0.3">
      <c r="A335" s="65" t="s">
        <v>1022</v>
      </c>
      <c r="B335" s="65" t="s">
        <v>1023</v>
      </c>
      <c r="C335" s="65" t="s">
        <v>466</v>
      </c>
      <c r="D335" s="66">
        <v>40299</v>
      </c>
      <c r="E335" s="65" t="s">
        <v>1727</v>
      </c>
      <c r="F335" s="65" t="s">
        <v>246</v>
      </c>
      <c r="G335" s="65" t="s">
        <v>300</v>
      </c>
      <c r="H335" s="67">
        <v>39400</v>
      </c>
    </row>
    <row r="336" spans="1:8" ht="14.25" customHeight="1" x14ac:dyDescent="0.3">
      <c r="A336" s="65" t="s">
        <v>1024</v>
      </c>
      <c r="B336" s="65" t="s">
        <v>1025</v>
      </c>
      <c r="C336" s="65" t="s">
        <v>989</v>
      </c>
      <c r="D336" s="66">
        <v>40312</v>
      </c>
      <c r="E336" s="65" t="s">
        <v>1725</v>
      </c>
      <c r="F336" s="65" t="s">
        <v>270</v>
      </c>
      <c r="G336" s="65" t="s">
        <v>257</v>
      </c>
      <c r="H336" s="67">
        <v>38600</v>
      </c>
    </row>
    <row r="337" spans="1:8" ht="14.25" customHeight="1" x14ac:dyDescent="0.3">
      <c r="A337" s="65" t="s">
        <v>1026</v>
      </c>
      <c r="B337" s="65" t="s">
        <v>1027</v>
      </c>
      <c r="C337" s="65" t="s">
        <v>697</v>
      </c>
      <c r="D337" s="66">
        <v>40325</v>
      </c>
      <c r="E337" s="65" t="s">
        <v>1725</v>
      </c>
      <c r="F337" s="65" t="s">
        <v>270</v>
      </c>
      <c r="G337" s="65" t="s">
        <v>313</v>
      </c>
      <c r="H337" s="67">
        <v>39600</v>
      </c>
    </row>
    <row r="338" spans="1:8" ht="14.25" customHeight="1" x14ac:dyDescent="0.3">
      <c r="A338" s="65" t="s">
        <v>1028</v>
      </c>
      <c r="B338" s="65" t="s">
        <v>1029</v>
      </c>
      <c r="C338" s="65" t="s">
        <v>335</v>
      </c>
      <c r="D338" s="66">
        <v>40338</v>
      </c>
      <c r="E338" s="65" t="s">
        <v>1725</v>
      </c>
      <c r="F338" s="65" t="s">
        <v>270</v>
      </c>
      <c r="G338" s="65" t="s">
        <v>252</v>
      </c>
      <c r="H338" s="67">
        <v>38800</v>
      </c>
    </row>
    <row r="339" spans="1:8" ht="14.25" customHeight="1" x14ac:dyDescent="0.3">
      <c r="A339" s="65" t="s">
        <v>1030</v>
      </c>
      <c r="B339" s="65" t="s">
        <v>1031</v>
      </c>
      <c r="C339" s="65" t="s">
        <v>466</v>
      </c>
      <c r="D339" s="66">
        <v>40351</v>
      </c>
      <c r="E339" s="65" t="s">
        <v>1723</v>
      </c>
      <c r="F339" s="65" t="s">
        <v>246</v>
      </c>
      <c r="G339" s="65" t="s">
        <v>300</v>
      </c>
      <c r="H339" s="67">
        <v>39800</v>
      </c>
    </row>
    <row r="340" spans="1:8" ht="14.25" customHeight="1" x14ac:dyDescent="0.3">
      <c r="A340" s="65" t="s">
        <v>1032</v>
      </c>
      <c r="B340" s="65" t="s">
        <v>1033</v>
      </c>
      <c r="C340" s="65" t="s">
        <v>822</v>
      </c>
      <c r="D340" s="66">
        <v>40364</v>
      </c>
      <c r="E340" s="65" t="s">
        <v>1723</v>
      </c>
      <c r="F340" s="65" t="s">
        <v>246</v>
      </c>
      <c r="G340" s="65" t="s">
        <v>339</v>
      </c>
      <c r="H340" s="67">
        <v>39000</v>
      </c>
    </row>
    <row r="341" spans="1:8" ht="14.25" customHeight="1" x14ac:dyDescent="0.3">
      <c r="A341" s="65" t="s">
        <v>1034</v>
      </c>
      <c r="B341" s="65" t="s">
        <v>1035</v>
      </c>
      <c r="C341" s="65" t="s">
        <v>801</v>
      </c>
      <c r="D341" s="66">
        <v>40377</v>
      </c>
      <c r="E341" s="65" t="s">
        <v>237</v>
      </c>
      <c r="F341" s="65" t="s">
        <v>237</v>
      </c>
      <c r="G341" s="65" t="s">
        <v>296</v>
      </c>
      <c r="H341" s="67">
        <v>40000</v>
      </c>
    </row>
    <row r="342" spans="1:8" ht="14.25" customHeight="1" x14ac:dyDescent="0.3">
      <c r="A342" s="65" t="s">
        <v>1036</v>
      </c>
      <c r="B342" s="65" t="s">
        <v>1037</v>
      </c>
      <c r="C342" s="65" t="s">
        <v>626</v>
      </c>
      <c r="D342" s="66">
        <v>40390</v>
      </c>
      <c r="E342" s="65" t="s">
        <v>1725</v>
      </c>
      <c r="F342" s="65" t="s">
        <v>270</v>
      </c>
      <c r="G342" s="65" t="s">
        <v>296</v>
      </c>
      <c r="H342" s="67">
        <v>39200</v>
      </c>
    </row>
    <row r="343" spans="1:8" ht="14.25" customHeight="1" x14ac:dyDescent="0.3">
      <c r="A343" s="65" t="s">
        <v>1038</v>
      </c>
      <c r="B343" s="65" t="s">
        <v>1039</v>
      </c>
      <c r="C343" s="65" t="s">
        <v>528</v>
      </c>
      <c r="D343" s="66">
        <v>40403</v>
      </c>
      <c r="E343" s="65" t="s">
        <v>1726</v>
      </c>
      <c r="F343" s="65" t="s">
        <v>284</v>
      </c>
      <c r="G343" s="65" t="s">
        <v>257</v>
      </c>
      <c r="H343" s="67">
        <v>40200</v>
      </c>
    </row>
    <row r="344" spans="1:8" ht="14.25" customHeight="1" x14ac:dyDescent="0.3">
      <c r="A344" s="65" t="s">
        <v>1040</v>
      </c>
      <c r="B344" s="65" t="s">
        <v>1041</v>
      </c>
      <c r="C344" s="65" t="s">
        <v>626</v>
      </c>
      <c r="D344" s="66">
        <v>40416</v>
      </c>
      <c r="E344" s="65" t="s">
        <v>1725</v>
      </c>
      <c r="F344" s="65" t="s">
        <v>270</v>
      </c>
      <c r="G344" s="65" t="s">
        <v>296</v>
      </c>
      <c r="H344" s="67">
        <v>39400</v>
      </c>
    </row>
    <row r="345" spans="1:8" ht="14.25" customHeight="1" x14ac:dyDescent="0.3">
      <c r="A345" s="65" t="s">
        <v>1042</v>
      </c>
      <c r="B345" s="65" t="s">
        <v>1043</v>
      </c>
      <c r="C345" s="65" t="s">
        <v>528</v>
      </c>
      <c r="D345" s="66">
        <v>40429</v>
      </c>
      <c r="E345" s="65" t="s">
        <v>1725</v>
      </c>
      <c r="F345" s="65" t="s">
        <v>270</v>
      </c>
      <c r="G345" s="65" t="s">
        <v>257</v>
      </c>
      <c r="H345" s="67">
        <v>40400</v>
      </c>
    </row>
    <row r="346" spans="1:8" ht="14.25" customHeight="1" x14ac:dyDescent="0.3">
      <c r="A346" s="65" t="s">
        <v>1044</v>
      </c>
      <c r="B346" s="65" t="s">
        <v>1045</v>
      </c>
      <c r="C346" s="65" t="s">
        <v>275</v>
      </c>
      <c r="D346" s="66">
        <v>40442</v>
      </c>
      <c r="E346" s="65" t="s">
        <v>1730</v>
      </c>
      <c r="F346" s="65" t="s">
        <v>237</v>
      </c>
      <c r="G346" s="65" t="s">
        <v>257</v>
      </c>
      <c r="H346" s="67">
        <v>39600</v>
      </c>
    </row>
    <row r="347" spans="1:8" ht="14.25" customHeight="1" x14ac:dyDescent="0.3">
      <c r="A347" s="65" t="s">
        <v>1046</v>
      </c>
      <c r="B347" s="65" t="s">
        <v>1047</v>
      </c>
      <c r="C347" s="65" t="s">
        <v>801</v>
      </c>
      <c r="D347" s="66">
        <v>40455</v>
      </c>
      <c r="E347" s="65" t="s">
        <v>1727</v>
      </c>
      <c r="F347" s="65" t="s">
        <v>246</v>
      </c>
      <c r="G347" s="65" t="s">
        <v>296</v>
      </c>
      <c r="H347" s="67">
        <v>40600</v>
      </c>
    </row>
    <row r="348" spans="1:8" ht="14.25" customHeight="1" x14ac:dyDescent="0.3">
      <c r="A348" s="65" t="s">
        <v>1048</v>
      </c>
      <c r="B348" s="65" t="s">
        <v>1049</v>
      </c>
      <c r="C348" s="65" t="s">
        <v>1050</v>
      </c>
      <c r="D348" s="66">
        <v>40468</v>
      </c>
      <c r="E348" s="65" t="s">
        <v>1725</v>
      </c>
      <c r="F348" s="65" t="s">
        <v>270</v>
      </c>
      <c r="G348" s="65" t="s">
        <v>292</v>
      </c>
      <c r="H348" s="67">
        <v>39800</v>
      </c>
    </row>
    <row r="349" spans="1:8" ht="14.25" customHeight="1" x14ac:dyDescent="0.3">
      <c r="A349" s="65" t="s">
        <v>1051</v>
      </c>
      <c r="B349" s="65" t="s">
        <v>1052</v>
      </c>
      <c r="C349" s="65" t="s">
        <v>528</v>
      </c>
      <c r="D349" s="66">
        <v>40481</v>
      </c>
      <c r="E349" s="65" t="s">
        <v>1725</v>
      </c>
      <c r="F349" s="65" t="s">
        <v>270</v>
      </c>
      <c r="G349" s="65" t="s">
        <v>257</v>
      </c>
      <c r="H349" s="67">
        <v>40800</v>
      </c>
    </row>
    <row r="350" spans="1:8" ht="14.25" customHeight="1" x14ac:dyDescent="0.3">
      <c r="A350" s="65" t="s">
        <v>1053</v>
      </c>
      <c r="B350" s="65" t="s">
        <v>1054</v>
      </c>
      <c r="C350" s="65" t="s">
        <v>441</v>
      </c>
      <c r="D350" s="66">
        <v>40494</v>
      </c>
      <c r="E350" s="65" t="s">
        <v>237</v>
      </c>
      <c r="F350" s="65" t="s">
        <v>237</v>
      </c>
      <c r="G350" s="65" t="s">
        <v>257</v>
      </c>
      <c r="H350" s="67">
        <v>40000</v>
      </c>
    </row>
    <row r="351" spans="1:8" ht="14.25" customHeight="1" x14ac:dyDescent="0.3">
      <c r="A351" s="65" t="s">
        <v>1055</v>
      </c>
      <c r="B351" s="65" t="s">
        <v>1056</v>
      </c>
      <c r="C351" s="65" t="s">
        <v>640</v>
      </c>
      <c r="D351" s="66">
        <v>40507</v>
      </c>
      <c r="E351" s="65" t="s">
        <v>1723</v>
      </c>
      <c r="F351" s="65" t="s">
        <v>246</v>
      </c>
      <c r="G351" s="65" t="s">
        <v>367</v>
      </c>
      <c r="H351" s="67">
        <v>41000</v>
      </c>
    </row>
    <row r="352" spans="1:8" ht="14.25" customHeight="1" x14ac:dyDescent="0.3">
      <c r="A352" s="65" t="s">
        <v>1057</v>
      </c>
      <c r="B352" s="65" t="s">
        <v>1058</v>
      </c>
      <c r="C352" s="65" t="s">
        <v>251</v>
      </c>
      <c r="D352" s="66">
        <v>40520</v>
      </c>
      <c r="E352" s="65" t="s">
        <v>1723</v>
      </c>
      <c r="F352" s="65" t="s">
        <v>246</v>
      </c>
      <c r="G352" s="65" t="s">
        <v>252</v>
      </c>
      <c r="H352" s="67">
        <v>40200</v>
      </c>
    </row>
    <row r="353" spans="1:8" ht="14.25" customHeight="1" x14ac:dyDescent="0.3">
      <c r="A353" s="65" t="s">
        <v>1059</v>
      </c>
      <c r="B353" s="65" t="s">
        <v>1060</v>
      </c>
      <c r="C353" s="65" t="s">
        <v>295</v>
      </c>
      <c r="D353" s="66">
        <v>40533</v>
      </c>
      <c r="E353" s="65" t="s">
        <v>1727</v>
      </c>
      <c r="F353" s="65" t="s">
        <v>246</v>
      </c>
      <c r="G353" s="65" t="s">
        <v>296</v>
      </c>
      <c r="H353" s="67">
        <v>41200</v>
      </c>
    </row>
    <row r="354" spans="1:8" ht="14.25" customHeight="1" x14ac:dyDescent="0.3">
      <c r="A354" s="65" t="s">
        <v>1061</v>
      </c>
      <c r="B354" s="65" t="s">
        <v>1062</v>
      </c>
      <c r="C354" s="65" t="s">
        <v>388</v>
      </c>
      <c r="D354" s="66">
        <v>40546</v>
      </c>
      <c r="E354" s="65" t="s">
        <v>1727</v>
      </c>
      <c r="F354" s="65" t="s">
        <v>246</v>
      </c>
      <c r="G354" s="65" t="s">
        <v>257</v>
      </c>
      <c r="H354" s="67">
        <v>40400</v>
      </c>
    </row>
    <row r="355" spans="1:8" ht="14.25" customHeight="1" x14ac:dyDescent="0.3">
      <c r="A355" s="65" t="s">
        <v>1063</v>
      </c>
      <c r="B355" s="65" t="s">
        <v>1064</v>
      </c>
      <c r="C355" s="65" t="s">
        <v>448</v>
      </c>
      <c r="D355" s="66">
        <v>40559</v>
      </c>
      <c r="E355" s="65" t="s">
        <v>1733</v>
      </c>
      <c r="F355" s="65" t="s">
        <v>473</v>
      </c>
      <c r="G355" s="65" t="s">
        <v>252</v>
      </c>
      <c r="H355" s="67">
        <v>41400</v>
      </c>
    </row>
    <row r="356" spans="1:8" ht="14.25" customHeight="1" x14ac:dyDescent="0.3">
      <c r="A356" s="65" t="s">
        <v>1065</v>
      </c>
      <c r="B356" s="65" t="s">
        <v>1066</v>
      </c>
      <c r="C356" s="65" t="s">
        <v>678</v>
      </c>
      <c r="D356" s="66">
        <v>40572</v>
      </c>
      <c r="E356" s="65" t="s">
        <v>1725</v>
      </c>
      <c r="F356" s="65" t="s">
        <v>270</v>
      </c>
      <c r="G356" s="65" t="s">
        <v>257</v>
      </c>
      <c r="H356" s="67">
        <v>40600</v>
      </c>
    </row>
    <row r="357" spans="1:8" ht="14.25" customHeight="1" x14ac:dyDescent="0.3">
      <c r="A357" s="65" t="s">
        <v>1067</v>
      </c>
      <c r="B357" s="65" t="s">
        <v>1068</v>
      </c>
      <c r="C357" s="65" t="s">
        <v>1069</v>
      </c>
      <c r="D357" s="66">
        <v>40585</v>
      </c>
      <c r="E357" s="65" t="s">
        <v>1725</v>
      </c>
      <c r="F357" s="65" t="s">
        <v>270</v>
      </c>
      <c r="G357" s="65" t="s">
        <v>367</v>
      </c>
      <c r="H357" s="67">
        <v>41600</v>
      </c>
    </row>
    <row r="358" spans="1:8" ht="14.25" customHeight="1" x14ac:dyDescent="0.3">
      <c r="A358" s="65" t="s">
        <v>1070</v>
      </c>
      <c r="B358" s="65" t="s">
        <v>1071</v>
      </c>
      <c r="C358" s="65" t="s">
        <v>1072</v>
      </c>
      <c r="D358" s="66">
        <v>40598</v>
      </c>
      <c r="E358" s="65" t="s">
        <v>1730</v>
      </c>
      <c r="F358" s="65" t="s">
        <v>237</v>
      </c>
      <c r="G358" s="65" t="s">
        <v>317</v>
      </c>
      <c r="H358" s="67">
        <v>40800</v>
      </c>
    </row>
    <row r="359" spans="1:8" ht="14.25" customHeight="1" x14ac:dyDescent="0.3">
      <c r="A359" s="65" t="s">
        <v>1073</v>
      </c>
      <c r="B359" s="65" t="s">
        <v>1074</v>
      </c>
      <c r="C359" s="65" t="s">
        <v>678</v>
      </c>
      <c r="D359" s="66">
        <v>40611</v>
      </c>
      <c r="E359" s="65" t="s">
        <v>1725</v>
      </c>
      <c r="F359" s="65" t="s">
        <v>270</v>
      </c>
      <c r="G359" s="65" t="s">
        <v>257</v>
      </c>
      <c r="H359" s="67">
        <v>41800</v>
      </c>
    </row>
    <row r="360" spans="1:8" ht="14.25" customHeight="1" x14ac:dyDescent="0.3">
      <c r="A360" s="65" t="s">
        <v>1075</v>
      </c>
      <c r="B360" s="65" t="s">
        <v>1076</v>
      </c>
      <c r="C360" s="65" t="s">
        <v>279</v>
      </c>
      <c r="D360" s="66">
        <v>40624</v>
      </c>
      <c r="E360" s="65" t="s">
        <v>1725</v>
      </c>
      <c r="F360" s="65" t="s">
        <v>270</v>
      </c>
      <c r="G360" s="65" t="s">
        <v>257</v>
      </c>
      <c r="H360" s="67">
        <v>41000</v>
      </c>
    </row>
    <row r="361" spans="1:8" ht="14.25" customHeight="1" x14ac:dyDescent="0.3">
      <c r="A361" s="65" t="s">
        <v>1077</v>
      </c>
      <c r="B361" s="65" t="s">
        <v>1078</v>
      </c>
      <c r="C361" s="65" t="s">
        <v>514</v>
      </c>
      <c r="D361" s="66">
        <v>40637</v>
      </c>
      <c r="E361" s="65" t="s">
        <v>1730</v>
      </c>
      <c r="F361" s="65" t="s">
        <v>237</v>
      </c>
      <c r="G361" s="65" t="s">
        <v>257</v>
      </c>
      <c r="H361" s="67">
        <v>42000</v>
      </c>
    </row>
    <row r="362" spans="1:8" ht="14.25" customHeight="1" x14ac:dyDescent="0.3">
      <c r="A362" s="65" t="s">
        <v>1079</v>
      </c>
      <c r="B362" s="65" t="s">
        <v>1080</v>
      </c>
      <c r="C362" s="65" t="s">
        <v>822</v>
      </c>
      <c r="D362" s="66">
        <v>40650</v>
      </c>
      <c r="E362" s="65" t="s">
        <v>237</v>
      </c>
      <c r="F362" s="65" t="s">
        <v>237</v>
      </c>
      <c r="G362" s="65" t="s">
        <v>339</v>
      </c>
      <c r="H362" s="67">
        <v>41200</v>
      </c>
    </row>
    <row r="363" spans="1:8" ht="14.25" customHeight="1" x14ac:dyDescent="0.3">
      <c r="A363" s="65" t="s">
        <v>1081</v>
      </c>
      <c r="B363" s="65" t="s">
        <v>1082</v>
      </c>
      <c r="C363" s="65" t="s">
        <v>1083</v>
      </c>
      <c r="D363" s="66">
        <v>40663</v>
      </c>
      <c r="E363" s="65" t="s">
        <v>1723</v>
      </c>
      <c r="F363" s="65" t="s">
        <v>246</v>
      </c>
      <c r="G363" s="65" t="s">
        <v>533</v>
      </c>
      <c r="H363" s="67">
        <v>42200</v>
      </c>
    </row>
    <row r="364" spans="1:8" ht="14.25" customHeight="1" x14ac:dyDescent="0.3">
      <c r="A364" s="65" t="s">
        <v>1084</v>
      </c>
      <c r="B364" s="65" t="s">
        <v>1085</v>
      </c>
      <c r="C364" s="65" t="s">
        <v>562</v>
      </c>
      <c r="D364" s="66">
        <v>40676</v>
      </c>
      <c r="E364" s="65" t="s">
        <v>1725</v>
      </c>
      <c r="F364" s="65" t="s">
        <v>270</v>
      </c>
      <c r="G364" s="65" t="s">
        <v>332</v>
      </c>
      <c r="H364" s="67">
        <v>41400</v>
      </c>
    </row>
    <row r="365" spans="1:8" ht="14.25" customHeight="1" x14ac:dyDescent="0.3">
      <c r="A365" s="65" t="s">
        <v>1086</v>
      </c>
      <c r="B365" s="65" t="s">
        <v>1087</v>
      </c>
      <c r="C365" s="65" t="s">
        <v>691</v>
      </c>
      <c r="D365" s="66">
        <v>40689</v>
      </c>
      <c r="E365" s="65" t="s">
        <v>237</v>
      </c>
      <c r="F365" s="65" t="s">
        <v>237</v>
      </c>
      <c r="G365" s="65" t="s">
        <v>271</v>
      </c>
      <c r="H365" s="67">
        <v>42400</v>
      </c>
    </row>
    <row r="366" spans="1:8" ht="14.25" customHeight="1" x14ac:dyDescent="0.3">
      <c r="A366" s="65" t="s">
        <v>1088</v>
      </c>
      <c r="B366" s="65" t="s">
        <v>1089</v>
      </c>
      <c r="C366" s="65" t="s">
        <v>715</v>
      </c>
      <c r="D366" s="66">
        <v>40702</v>
      </c>
      <c r="E366" s="65" t="s">
        <v>320</v>
      </c>
      <c r="F366" s="65" t="s">
        <v>320</v>
      </c>
      <c r="G366" s="65" t="s">
        <v>300</v>
      </c>
      <c r="H366" s="67">
        <v>41600</v>
      </c>
    </row>
    <row r="367" spans="1:8" ht="14.25" customHeight="1" x14ac:dyDescent="0.3">
      <c r="A367" s="65" t="s">
        <v>1090</v>
      </c>
      <c r="B367" s="65" t="s">
        <v>1091</v>
      </c>
      <c r="C367" s="65" t="s">
        <v>1092</v>
      </c>
      <c r="D367" s="66">
        <v>40715</v>
      </c>
      <c r="E367" s="65" t="s">
        <v>1723</v>
      </c>
      <c r="F367" s="65" t="s">
        <v>246</v>
      </c>
      <c r="G367" s="65" t="s">
        <v>257</v>
      </c>
      <c r="H367" s="67">
        <v>42600</v>
      </c>
    </row>
    <row r="368" spans="1:8" ht="14.25" customHeight="1" x14ac:dyDescent="0.3">
      <c r="A368" s="65" t="s">
        <v>1093</v>
      </c>
      <c r="B368" s="65" t="s">
        <v>1094</v>
      </c>
      <c r="C368" s="65" t="s">
        <v>678</v>
      </c>
      <c r="D368" s="66">
        <v>40728</v>
      </c>
      <c r="E368" s="65" t="s">
        <v>1727</v>
      </c>
      <c r="F368" s="65" t="s">
        <v>246</v>
      </c>
      <c r="G368" s="65" t="s">
        <v>257</v>
      </c>
      <c r="H368" s="67">
        <v>41800</v>
      </c>
    </row>
    <row r="369" spans="1:8" ht="14.25" customHeight="1" x14ac:dyDescent="0.3">
      <c r="A369" s="65" t="s">
        <v>1095</v>
      </c>
      <c r="B369" s="65" t="s">
        <v>1096</v>
      </c>
      <c r="C369" s="65" t="s">
        <v>319</v>
      </c>
      <c r="D369" s="66">
        <v>40741</v>
      </c>
      <c r="E369" s="65" t="s">
        <v>1725</v>
      </c>
      <c r="F369" s="65" t="s">
        <v>270</v>
      </c>
      <c r="G369" s="65" t="s">
        <v>257</v>
      </c>
      <c r="H369" s="67">
        <v>42800</v>
      </c>
    </row>
    <row r="370" spans="1:8" ht="14.25" customHeight="1" x14ac:dyDescent="0.3">
      <c r="A370" s="65" t="s">
        <v>1097</v>
      </c>
      <c r="B370" s="65" t="s">
        <v>1098</v>
      </c>
      <c r="C370" s="65" t="s">
        <v>872</v>
      </c>
      <c r="D370" s="66">
        <v>40754</v>
      </c>
      <c r="E370" s="65" t="s">
        <v>1723</v>
      </c>
      <c r="F370" s="65" t="s">
        <v>246</v>
      </c>
      <c r="G370" s="65" t="s">
        <v>252</v>
      </c>
      <c r="H370" s="67">
        <v>42000</v>
      </c>
    </row>
    <row r="371" spans="1:8" ht="14.25" customHeight="1" x14ac:dyDescent="0.3">
      <c r="A371" s="65" t="s">
        <v>1099</v>
      </c>
      <c r="B371" s="65" t="s">
        <v>1100</v>
      </c>
      <c r="C371" s="65" t="s">
        <v>275</v>
      </c>
      <c r="D371" s="66">
        <v>40767</v>
      </c>
      <c r="E371" s="65" t="s">
        <v>1725</v>
      </c>
      <c r="F371" s="65" t="s">
        <v>270</v>
      </c>
      <c r="G371" s="65" t="s">
        <v>257</v>
      </c>
      <c r="H371" s="67">
        <v>43000</v>
      </c>
    </row>
    <row r="372" spans="1:8" ht="14.25" customHeight="1" x14ac:dyDescent="0.3">
      <c r="A372" s="65" t="s">
        <v>1101</v>
      </c>
      <c r="B372" s="65" t="s">
        <v>1102</v>
      </c>
      <c r="C372" s="65" t="s">
        <v>328</v>
      </c>
      <c r="D372" s="66">
        <v>40780</v>
      </c>
      <c r="E372" s="65" t="s">
        <v>237</v>
      </c>
      <c r="F372" s="65" t="s">
        <v>237</v>
      </c>
      <c r="G372" s="65" t="s">
        <v>252</v>
      </c>
      <c r="H372" s="67">
        <v>42200</v>
      </c>
    </row>
    <row r="373" spans="1:8" ht="14.25" customHeight="1" x14ac:dyDescent="0.3">
      <c r="A373" s="65" t="s">
        <v>1103</v>
      </c>
      <c r="B373" s="65" t="s">
        <v>1104</v>
      </c>
      <c r="C373" s="65" t="s">
        <v>1105</v>
      </c>
      <c r="D373" s="66">
        <v>40793</v>
      </c>
      <c r="E373" s="65" t="s">
        <v>237</v>
      </c>
      <c r="F373" s="65" t="s">
        <v>237</v>
      </c>
      <c r="G373" s="65" t="s">
        <v>378</v>
      </c>
      <c r="H373" s="67">
        <v>43200</v>
      </c>
    </row>
    <row r="374" spans="1:8" ht="14.25" customHeight="1" x14ac:dyDescent="0.3">
      <c r="A374" s="65" t="s">
        <v>1106</v>
      </c>
      <c r="B374" s="65" t="s">
        <v>1107</v>
      </c>
      <c r="C374" s="65" t="s">
        <v>514</v>
      </c>
      <c r="D374" s="66">
        <v>40806</v>
      </c>
      <c r="E374" s="65" t="s">
        <v>1725</v>
      </c>
      <c r="F374" s="65" t="s">
        <v>270</v>
      </c>
      <c r="G374" s="65" t="s">
        <v>257</v>
      </c>
      <c r="H374" s="67">
        <v>42400</v>
      </c>
    </row>
    <row r="375" spans="1:8" ht="14.25" customHeight="1" x14ac:dyDescent="0.3">
      <c r="A375" s="65" t="s">
        <v>1108</v>
      </c>
      <c r="B375" s="65" t="s">
        <v>1109</v>
      </c>
      <c r="C375" s="65" t="s">
        <v>1110</v>
      </c>
      <c r="D375" s="66">
        <v>40819</v>
      </c>
      <c r="E375" s="65" t="s">
        <v>1727</v>
      </c>
      <c r="F375" s="65" t="s">
        <v>246</v>
      </c>
      <c r="G375" s="65" t="s">
        <v>257</v>
      </c>
      <c r="H375" s="67">
        <v>43400</v>
      </c>
    </row>
    <row r="376" spans="1:8" ht="14.25" customHeight="1" x14ac:dyDescent="0.3">
      <c r="A376" s="65" t="s">
        <v>1111</v>
      </c>
      <c r="B376" s="65" t="s">
        <v>1112</v>
      </c>
      <c r="C376" s="65" t="s">
        <v>611</v>
      </c>
      <c r="D376" s="66">
        <v>40832</v>
      </c>
      <c r="E376" s="65" t="s">
        <v>1727</v>
      </c>
      <c r="F376" s="65" t="s">
        <v>246</v>
      </c>
      <c r="G376" s="65" t="s">
        <v>257</v>
      </c>
      <c r="H376" s="67">
        <v>42600</v>
      </c>
    </row>
    <row r="377" spans="1:8" ht="14.25" customHeight="1" x14ac:dyDescent="0.3">
      <c r="A377" s="65" t="s">
        <v>1113</v>
      </c>
      <c r="B377" s="65" t="s">
        <v>1114</v>
      </c>
      <c r="C377" s="65" t="s">
        <v>288</v>
      </c>
      <c r="D377" s="66">
        <v>40845</v>
      </c>
      <c r="E377" s="65" t="s">
        <v>1725</v>
      </c>
      <c r="F377" s="65" t="s">
        <v>270</v>
      </c>
      <c r="G377" s="65" t="s">
        <v>257</v>
      </c>
      <c r="H377" s="67">
        <v>43600</v>
      </c>
    </row>
    <row r="378" spans="1:8" ht="14.25" customHeight="1" x14ac:dyDescent="0.3">
      <c r="A378" s="65" t="s">
        <v>1115</v>
      </c>
      <c r="B378" s="65" t="s">
        <v>1116</v>
      </c>
      <c r="C378" s="65" t="s">
        <v>305</v>
      </c>
      <c r="D378" s="66">
        <v>40858</v>
      </c>
      <c r="E378" s="65" t="s">
        <v>1727</v>
      </c>
      <c r="F378" s="65" t="s">
        <v>246</v>
      </c>
      <c r="G378" s="65" t="s">
        <v>300</v>
      </c>
      <c r="H378" s="67">
        <v>42800</v>
      </c>
    </row>
    <row r="379" spans="1:8" ht="14.25" customHeight="1" x14ac:dyDescent="0.3">
      <c r="A379" s="65" t="s">
        <v>1117</v>
      </c>
      <c r="B379" s="65" t="s">
        <v>1118</v>
      </c>
      <c r="C379" s="65" t="s">
        <v>466</v>
      </c>
      <c r="D379" s="66">
        <v>40871</v>
      </c>
      <c r="E379" s="65" t="s">
        <v>1725</v>
      </c>
      <c r="F379" s="65" t="s">
        <v>270</v>
      </c>
      <c r="G379" s="65" t="s">
        <v>300</v>
      </c>
      <c r="H379" s="67">
        <v>43800</v>
      </c>
    </row>
    <row r="380" spans="1:8" ht="14.25" customHeight="1" x14ac:dyDescent="0.3">
      <c r="A380" s="65" t="s">
        <v>1119</v>
      </c>
      <c r="B380" s="65" t="s">
        <v>1120</v>
      </c>
      <c r="C380" s="65" t="s">
        <v>441</v>
      </c>
      <c r="D380" s="66">
        <v>40884</v>
      </c>
      <c r="E380" s="65" t="s">
        <v>1727</v>
      </c>
      <c r="F380" s="65" t="s">
        <v>246</v>
      </c>
      <c r="G380" s="65" t="s">
        <v>257</v>
      </c>
      <c r="H380" s="67">
        <v>43000</v>
      </c>
    </row>
    <row r="381" spans="1:8" ht="14.25" customHeight="1" x14ac:dyDescent="0.3">
      <c r="A381" s="65" t="s">
        <v>1121</v>
      </c>
      <c r="B381" s="65" t="s">
        <v>1122</v>
      </c>
      <c r="C381" s="65" t="s">
        <v>1123</v>
      </c>
      <c r="D381" s="66">
        <v>40897</v>
      </c>
      <c r="E381" s="65" t="s">
        <v>1727</v>
      </c>
      <c r="F381" s="65" t="s">
        <v>246</v>
      </c>
      <c r="G381" s="65" t="s">
        <v>367</v>
      </c>
      <c r="H381" s="67">
        <v>44000</v>
      </c>
    </row>
    <row r="382" spans="1:8" ht="14.25" customHeight="1" x14ac:dyDescent="0.3">
      <c r="A382" s="65" t="s">
        <v>1124</v>
      </c>
      <c r="B382" s="65" t="s">
        <v>1125</v>
      </c>
      <c r="C382" s="65" t="s">
        <v>611</v>
      </c>
      <c r="D382" s="66">
        <v>40910</v>
      </c>
      <c r="E382" s="65" t="s">
        <v>1727</v>
      </c>
      <c r="F382" s="65" t="s">
        <v>246</v>
      </c>
      <c r="G382" s="65" t="s">
        <v>257</v>
      </c>
      <c r="H382" s="67">
        <v>43200</v>
      </c>
    </row>
    <row r="383" spans="1:8" ht="14.25" customHeight="1" x14ac:dyDescent="0.3">
      <c r="A383" s="65" t="s">
        <v>1126</v>
      </c>
      <c r="B383" s="65" t="s">
        <v>1127</v>
      </c>
      <c r="C383" s="65" t="s">
        <v>514</v>
      </c>
      <c r="D383" s="66">
        <v>40923</v>
      </c>
      <c r="E383" s="65" t="s">
        <v>1725</v>
      </c>
      <c r="F383" s="65" t="s">
        <v>270</v>
      </c>
      <c r="G383" s="65" t="s">
        <v>257</v>
      </c>
      <c r="H383" s="67">
        <v>44200</v>
      </c>
    </row>
    <row r="384" spans="1:8" ht="14.25" customHeight="1" x14ac:dyDescent="0.3">
      <c r="A384" s="65" t="s">
        <v>1128</v>
      </c>
      <c r="B384" s="65" t="s">
        <v>1129</v>
      </c>
      <c r="C384" s="65" t="s">
        <v>514</v>
      </c>
      <c r="D384" s="66">
        <v>40936</v>
      </c>
      <c r="E384" s="65" t="s">
        <v>1727</v>
      </c>
      <c r="F384" s="65" t="s">
        <v>246</v>
      </c>
      <c r="G384" s="65" t="s">
        <v>257</v>
      </c>
      <c r="H384" s="67">
        <v>43400</v>
      </c>
    </row>
    <row r="385" spans="1:8" ht="14.25" customHeight="1" x14ac:dyDescent="0.3">
      <c r="A385" s="65" t="s">
        <v>1130</v>
      </c>
      <c r="B385" s="65" t="s">
        <v>1131</v>
      </c>
      <c r="C385" s="65" t="s">
        <v>1132</v>
      </c>
      <c r="D385" s="66">
        <v>40949</v>
      </c>
      <c r="E385" s="65" t="s">
        <v>1723</v>
      </c>
      <c r="F385" s="65" t="s">
        <v>246</v>
      </c>
      <c r="G385" s="65" t="s">
        <v>252</v>
      </c>
      <c r="H385" s="67">
        <v>44400</v>
      </c>
    </row>
    <row r="386" spans="1:8" ht="14.25" customHeight="1" x14ac:dyDescent="0.3">
      <c r="A386" s="65" t="s">
        <v>1133</v>
      </c>
      <c r="B386" s="65" t="s">
        <v>1134</v>
      </c>
      <c r="C386" s="65" t="s">
        <v>872</v>
      </c>
      <c r="D386" s="66">
        <v>40962</v>
      </c>
      <c r="E386" s="65" t="s">
        <v>1725</v>
      </c>
      <c r="F386" s="65" t="s">
        <v>270</v>
      </c>
      <c r="G386" s="65" t="s">
        <v>252</v>
      </c>
      <c r="H386" s="67">
        <v>43600</v>
      </c>
    </row>
    <row r="387" spans="1:8" ht="14.25" customHeight="1" x14ac:dyDescent="0.3">
      <c r="A387" s="65" t="s">
        <v>1135</v>
      </c>
      <c r="B387" s="65" t="s">
        <v>1136</v>
      </c>
      <c r="C387" s="65" t="s">
        <v>718</v>
      </c>
      <c r="D387" s="66">
        <v>40975</v>
      </c>
      <c r="E387" s="65" t="s">
        <v>1727</v>
      </c>
      <c r="F387" s="65" t="s">
        <v>246</v>
      </c>
      <c r="G387" s="65" t="s">
        <v>292</v>
      </c>
      <c r="H387" s="67">
        <v>44600</v>
      </c>
    </row>
    <row r="388" spans="1:8" ht="14.25" customHeight="1" x14ac:dyDescent="0.3">
      <c r="A388" s="65" t="s">
        <v>1137</v>
      </c>
      <c r="B388" s="65" t="s">
        <v>1138</v>
      </c>
      <c r="C388" s="65" t="s">
        <v>532</v>
      </c>
      <c r="D388" s="66">
        <v>40988</v>
      </c>
      <c r="E388" s="65" t="s">
        <v>237</v>
      </c>
      <c r="F388" s="65" t="s">
        <v>237</v>
      </c>
      <c r="G388" s="65" t="s">
        <v>533</v>
      </c>
      <c r="H388" s="67">
        <v>43800</v>
      </c>
    </row>
    <row r="389" spans="1:8" ht="14.25" customHeight="1" x14ac:dyDescent="0.3">
      <c r="A389" s="65" t="s">
        <v>1139</v>
      </c>
      <c r="B389" s="65" t="s">
        <v>1140</v>
      </c>
      <c r="C389" s="65" t="s">
        <v>801</v>
      </c>
      <c r="D389" s="66">
        <v>41001</v>
      </c>
      <c r="E389" s="65" t="s">
        <v>1729</v>
      </c>
      <c r="F389" s="65" t="s">
        <v>377</v>
      </c>
      <c r="G389" s="65" t="s">
        <v>296</v>
      </c>
      <c r="H389" s="67">
        <v>44800</v>
      </c>
    </row>
    <row r="390" spans="1:8" ht="14.25" customHeight="1" x14ac:dyDescent="0.3">
      <c r="A390" s="65" t="s">
        <v>1141</v>
      </c>
      <c r="B390" s="65" t="s">
        <v>1142</v>
      </c>
      <c r="C390" s="65" t="s">
        <v>363</v>
      </c>
      <c r="D390" s="66">
        <v>41014</v>
      </c>
      <c r="E390" s="65" t="s">
        <v>1726</v>
      </c>
      <c r="F390" s="65" t="s">
        <v>284</v>
      </c>
      <c r="G390" s="65" t="s">
        <v>296</v>
      </c>
      <c r="H390" s="67">
        <v>44000</v>
      </c>
    </row>
    <row r="391" spans="1:8" ht="14.25" customHeight="1" x14ac:dyDescent="0.3">
      <c r="A391" s="65" t="s">
        <v>1143</v>
      </c>
      <c r="B391" s="65" t="s">
        <v>1144</v>
      </c>
      <c r="C391" s="65" t="s">
        <v>611</v>
      </c>
      <c r="D391" s="66">
        <v>41027</v>
      </c>
      <c r="E391" s="65" t="s">
        <v>1725</v>
      </c>
      <c r="F391" s="65" t="s">
        <v>270</v>
      </c>
      <c r="G391" s="65" t="s">
        <v>257</v>
      </c>
      <c r="H391" s="67">
        <v>45000</v>
      </c>
    </row>
    <row r="392" spans="1:8" ht="14.25" customHeight="1" x14ac:dyDescent="0.3">
      <c r="A392" s="65" t="s">
        <v>1145</v>
      </c>
      <c r="B392" s="65" t="s">
        <v>1146</v>
      </c>
      <c r="C392" s="65" t="s">
        <v>448</v>
      </c>
      <c r="D392" s="66">
        <v>41040</v>
      </c>
      <c r="E392" s="65" t="s">
        <v>1726</v>
      </c>
      <c r="F392" s="65" t="s">
        <v>284</v>
      </c>
      <c r="G392" s="65" t="s">
        <v>252</v>
      </c>
      <c r="H392" s="67">
        <v>44200</v>
      </c>
    </row>
    <row r="393" spans="1:8" ht="14.25" customHeight="1" x14ac:dyDescent="0.3">
      <c r="A393" s="65" t="s">
        <v>1147</v>
      </c>
      <c r="B393" s="65" t="s">
        <v>1148</v>
      </c>
      <c r="C393" s="65" t="s">
        <v>479</v>
      </c>
      <c r="D393" s="66">
        <v>41053</v>
      </c>
      <c r="E393" s="65" t="s">
        <v>1726</v>
      </c>
      <c r="F393" s="65" t="s">
        <v>284</v>
      </c>
      <c r="G393" s="65" t="s">
        <v>332</v>
      </c>
      <c r="H393" s="67">
        <v>45200</v>
      </c>
    </row>
    <row r="394" spans="1:8" ht="14.25" customHeight="1" x14ac:dyDescent="0.3">
      <c r="A394" s="65" t="s">
        <v>1149</v>
      </c>
      <c r="B394" s="65" t="s">
        <v>1150</v>
      </c>
      <c r="C394" s="65" t="s">
        <v>1151</v>
      </c>
      <c r="D394" s="66">
        <v>41066</v>
      </c>
      <c r="E394" s="65" t="s">
        <v>1727</v>
      </c>
      <c r="F394" s="65" t="s">
        <v>246</v>
      </c>
      <c r="G394" s="65" t="s">
        <v>367</v>
      </c>
      <c r="H394" s="67">
        <v>44400</v>
      </c>
    </row>
    <row r="395" spans="1:8" ht="14.25" customHeight="1" x14ac:dyDescent="0.3">
      <c r="A395" s="65" t="s">
        <v>1152</v>
      </c>
      <c r="B395" s="65" t="s">
        <v>1153</v>
      </c>
      <c r="C395" s="65" t="s">
        <v>528</v>
      </c>
      <c r="D395" s="66">
        <v>41079</v>
      </c>
      <c r="E395" s="65" t="s">
        <v>1727</v>
      </c>
      <c r="F395" s="65" t="s">
        <v>246</v>
      </c>
      <c r="G395" s="65" t="s">
        <v>257</v>
      </c>
      <c r="H395" s="67">
        <v>45400</v>
      </c>
    </row>
    <row r="396" spans="1:8" ht="14.25" customHeight="1" x14ac:dyDescent="0.3">
      <c r="A396" s="65" t="s">
        <v>1154</v>
      </c>
      <c r="B396" s="65" t="s">
        <v>1155</v>
      </c>
      <c r="C396" s="65" t="s">
        <v>801</v>
      </c>
      <c r="D396" s="66">
        <v>41092</v>
      </c>
      <c r="E396" s="65" t="s">
        <v>1727</v>
      </c>
      <c r="F396" s="65" t="s">
        <v>246</v>
      </c>
      <c r="G396" s="65" t="s">
        <v>296</v>
      </c>
      <c r="H396" s="67">
        <v>44600</v>
      </c>
    </row>
    <row r="397" spans="1:8" ht="14.25" customHeight="1" x14ac:dyDescent="0.3">
      <c r="A397" s="65" t="s">
        <v>1156</v>
      </c>
      <c r="B397" s="65" t="s">
        <v>1157</v>
      </c>
      <c r="C397" s="65" t="s">
        <v>1158</v>
      </c>
      <c r="D397" s="66">
        <v>41105</v>
      </c>
      <c r="E397" s="65" t="s">
        <v>1727</v>
      </c>
      <c r="F397" s="65" t="s">
        <v>246</v>
      </c>
      <c r="G397" s="65" t="s">
        <v>332</v>
      </c>
      <c r="H397" s="67">
        <v>45600</v>
      </c>
    </row>
    <row r="398" spans="1:8" ht="14.25" customHeight="1" x14ac:dyDescent="0.3">
      <c r="A398" s="65" t="s">
        <v>1159</v>
      </c>
      <c r="B398" s="65" t="s">
        <v>1160</v>
      </c>
      <c r="C398" s="65" t="s">
        <v>1161</v>
      </c>
      <c r="D398" s="66">
        <v>41118</v>
      </c>
      <c r="E398" s="65" t="s">
        <v>1727</v>
      </c>
      <c r="F398" s="65" t="s">
        <v>246</v>
      </c>
      <c r="G398" s="65" t="s">
        <v>296</v>
      </c>
      <c r="H398" s="67">
        <v>44800</v>
      </c>
    </row>
    <row r="399" spans="1:8" ht="14.25" customHeight="1" x14ac:dyDescent="0.3">
      <c r="A399" s="65" t="s">
        <v>1162</v>
      </c>
      <c r="B399" s="65" t="s">
        <v>1163</v>
      </c>
      <c r="C399" s="65" t="s">
        <v>528</v>
      </c>
      <c r="D399" s="66">
        <v>41131</v>
      </c>
      <c r="E399" s="65" t="s">
        <v>1727</v>
      </c>
      <c r="F399" s="65" t="s">
        <v>246</v>
      </c>
      <c r="G399" s="65" t="s">
        <v>257</v>
      </c>
      <c r="H399" s="67">
        <v>45800</v>
      </c>
    </row>
    <row r="400" spans="1:8" ht="14.25" customHeight="1" x14ac:dyDescent="0.3">
      <c r="A400" s="65" t="s">
        <v>1164</v>
      </c>
      <c r="B400" s="65" t="s">
        <v>1165</v>
      </c>
      <c r="C400" s="65" t="s">
        <v>1166</v>
      </c>
      <c r="D400" s="66">
        <v>41144</v>
      </c>
      <c r="E400" s="65" t="s">
        <v>1723</v>
      </c>
      <c r="F400" s="65" t="s">
        <v>246</v>
      </c>
      <c r="G400" s="65" t="s">
        <v>317</v>
      </c>
      <c r="H400" s="67">
        <v>45000</v>
      </c>
    </row>
    <row r="401" spans="1:8" ht="14.25" customHeight="1" x14ac:dyDescent="0.3">
      <c r="A401" s="65" t="s">
        <v>1167</v>
      </c>
      <c r="B401" s="65" t="s">
        <v>1168</v>
      </c>
      <c r="C401" s="65" t="s">
        <v>466</v>
      </c>
      <c r="D401" s="66">
        <v>41157</v>
      </c>
      <c r="E401" s="65" t="s">
        <v>1734</v>
      </c>
      <c r="F401" s="65" t="s">
        <v>306</v>
      </c>
      <c r="G401" s="65" t="s">
        <v>300</v>
      </c>
      <c r="H401" s="67">
        <v>46000</v>
      </c>
    </row>
    <row r="402" spans="1:8" ht="14.25" customHeight="1" x14ac:dyDescent="0.3">
      <c r="A402" s="65" t="s">
        <v>1169</v>
      </c>
      <c r="B402" s="65" t="s">
        <v>1170</v>
      </c>
      <c r="C402" s="65" t="s">
        <v>715</v>
      </c>
      <c r="D402" s="66">
        <v>41170</v>
      </c>
      <c r="E402" s="65" t="s">
        <v>234</v>
      </c>
      <c r="F402" s="65" t="s">
        <v>236</v>
      </c>
      <c r="G402" s="65" t="s">
        <v>300</v>
      </c>
      <c r="H402" s="67">
        <v>45200</v>
      </c>
    </row>
    <row r="403" spans="1:8" ht="14.25" customHeight="1" x14ac:dyDescent="0.3">
      <c r="A403" s="65" t="s">
        <v>1171</v>
      </c>
      <c r="B403" s="65" t="s">
        <v>1172</v>
      </c>
      <c r="C403" s="65" t="s">
        <v>279</v>
      </c>
      <c r="D403" s="66">
        <v>41183</v>
      </c>
      <c r="E403" s="65" t="s">
        <v>1726</v>
      </c>
      <c r="F403" s="65" t="s">
        <v>284</v>
      </c>
      <c r="G403" s="65" t="s">
        <v>257</v>
      </c>
      <c r="H403" s="67">
        <v>46200</v>
      </c>
    </row>
    <row r="404" spans="1:8" ht="14.25" customHeight="1" x14ac:dyDescent="0.3">
      <c r="A404" s="65" t="s">
        <v>1173</v>
      </c>
      <c r="B404" s="65" t="s">
        <v>1174</v>
      </c>
      <c r="C404" s="65" t="s">
        <v>1175</v>
      </c>
      <c r="D404" s="66">
        <v>41196</v>
      </c>
      <c r="E404" s="65" t="s">
        <v>1723</v>
      </c>
      <c r="F404" s="65" t="s">
        <v>246</v>
      </c>
      <c r="G404" s="65" t="s">
        <v>257</v>
      </c>
      <c r="H404" s="67">
        <v>45400</v>
      </c>
    </row>
    <row r="405" spans="1:8" ht="14.25" customHeight="1" x14ac:dyDescent="0.3">
      <c r="A405" s="65" t="s">
        <v>1176</v>
      </c>
      <c r="B405" s="65" t="s">
        <v>1177</v>
      </c>
      <c r="C405" s="65" t="s">
        <v>656</v>
      </c>
      <c r="D405" s="66">
        <v>41209</v>
      </c>
      <c r="E405" s="65" t="s">
        <v>1725</v>
      </c>
      <c r="F405" s="65" t="s">
        <v>270</v>
      </c>
      <c r="G405" s="65" t="s">
        <v>285</v>
      </c>
      <c r="H405" s="67">
        <v>46400</v>
      </c>
    </row>
    <row r="406" spans="1:8" ht="14.25" customHeight="1" x14ac:dyDescent="0.3">
      <c r="A406" s="65" t="s">
        <v>1178</v>
      </c>
      <c r="B406" s="65" t="s">
        <v>1179</v>
      </c>
      <c r="C406" s="65" t="s">
        <v>466</v>
      </c>
      <c r="D406" s="66">
        <v>41222</v>
      </c>
      <c r="E406" s="65" t="s">
        <v>1726</v>
      </c>
      <c r="F406" s="65" t="s">
        <v>284</v>
      </c>
      <c r="G406" s="65" t="s">
        <v>300</v>
      </c>
      <c r="H406" s="67">
        <v>45600</v>
      </c>
    </row>
    <row r="407" spans="1:8" ht="14.25" customHeight="1" x14ac:dyDescent="0.3">
      <c r="A407" s="65" t="s">
        <v>1180</v>
      </c>
      <c r="B407" s="65" t="s">
        <v>1181</v>
      </c>
      <c r="C407" s="65" t="s">
        <v>611</v>
      </c>
      <c r="D407" s="66">
        <v>41235</v>
      </c>
      <c r="E407" s="65" t="s">
        <v>1727</v>
      </c>
      <c r="F407" s="65" t="s">
        <v>246</v>
      </c>
      <c r="G407" s="65" t="s">
        <v>257</v>
      </c>
      <c r="H407" s="67">
        <v>46600</v>
      </c>
    </row>
    <row r="408" spans="1:8" ht="14.25" customHeight="1" x14ac:dyDescent="0.3">
      <c r="A408" s="65" t="s">
        <v>1182</v>
      </c>
      <c r="B408" s="65" t="s">
        <v>1183</v>
      </c>
      <c r="C408" s="65" t="s">
        <v>611</v>
      </c>
      <c r="D408" s="66">
        <v>41248</v>
      </c>
      <c r="E408" s="65" t="s">
        <v>1725</v>
      </c>
      <c r="F408" s="65" t="s">
        <v>270</v>
      </c>
      <c r="G408" s="65" t="s">
        <v>257</v>
      </c>
      <c r="H408" s="67">
        <v>45800</v>
      </c>
    </row>
    <row r="409" spans="1:8" ht="14.25" customHeight="1" x14ac:dyDescent="0.3">
      <c r="A409" s="65" t="s">
        <v>1184</v>
      </c>
      <c r="B409" s="65" t="s">
        <v>1185</v>
      </c>
      <c r="C409" s="65" t="s">
        <v>479</v>
      </c>
      <c r="D409" s="66">
        <v>41261</v>
      </c>
      <c r="E409" s="65" t="s">
        <v>1727</v>
      </c>
      <c r="F409" s="65" t="s">
        <v>246</v>
      </c>
      <c r="G409" s="65" t="s">
        <v>332</v>
      </c>
      <c r="H409" s="67">
        <v>46800</v>
      </c>
    </row>
    <row r="410" spans="1:8" ht="14.25" customHeight="1" x14ac:dyDescent="0.3">
      <c r="A410" s="65" t="s">
        <v>1186</v>
      </c>
      <c r="B410" s="65" t="s">
        <v>1187</v>
      </c>
      <c r="C410" s="65" t="s">
        <v>427</v>
      </c>
      <c r="D410" s="66">
        <v>41274</v>
      </c>
      <c r="E410" s="65" t="s">
        <v>1734</v>
      </c>
      <c r="F410" s="65" t="s">
        <v>306</v>
      </c>
      <c r="G410" s="65" t="s">
        <v>257</v>
      </c>
      <c r="H410" s="67">
        <v>46000</v>
      </c>
    </row>
    <row r="411" spans="1:8" ht="14.25" customHeight="1" x14ac:dyDescent="0.3">
      <c r="A411" s="65" t="s">
        <v>1188</v>
      </c>
      <c r="B411" s="65" t="s">
        <v>1189</v>
      </c>
      <c r="C411" s="65" t="s">
        <v>388</v>
      </c>
      <c r="D411" s="66">
        <v>41287</v>
      </c>
      <c r="E411" s="65" t="s">
        <v>1734</v>
      </c>
      <c r="F411" s="65" t="s">
        <v>306</v>
      </c>
      <c r="G411" s="65" t="s">
        <v>257</v>
      </c>
      <c r="H411" s="67">
        <v>47000</v>
      </c>
    </row>
    <row r="412" spans="1:8" ht="14.25" customHeight="1" x14ac:dyDescent="0.3">
      <c r="A412" s="65" t="s">
        <v>1190</v>
      </c>
      <c r="B412" s="65" t="s">
        <v>1191</v>
      </c>
      <c r="C412" s="65" t="s">
        <v>441</v>
      </c>
      <c r="D412" s="66">
        <v>41300</v>
      </c>
      <c r="E412" s="65" t="s">
        <v>1724</v>
      </c>
      <c r="F412" s="65" t="s">
        <v>237</v>
      </c>
      <c r="G412" s="65" t="s">
        <v>257</v>
      </c>
      <c r="H412" s="67">
        <v>46200</v>
      </c>
    </row>
    <row r="413" spans="1:8" ht="14.25" customHeight="1" x14ac:dyDescent="0.3">
      <c r="A413" s="65" t="s">
        <v>1192</v>
      </c>
      <c r="B413" s="65" t="s">
        <v>1193</v>
      </c>
      <c r="C413" s="65" t="s">
        <v>611</v>
      </c>
      <c r="D413" s="66">
        <v>41313</v>
      </c>
      <c r="E413" s="65" t="s">
        <v>1727</v>
      </c>
      <c r="F413" s="65" t="s">
        <v>246</v>
      </c>
      <c r="G413" s="65" t="s">
        <v>257</v>
      </c>
      <c r="H413" s="67">
        <v>47200</v>
      </c>
    </row>
    <row r="414" spans="1:8" ht="14.25" customHeight="1" x14ac:dyDescent="0.3">
      <c r="A414" s="65" t="s">
        <v>1194</v>
      </c>
      <c r="B414" s="65" t="s">
        <v>1195</v>
      </c>
      <c r="C414" s="65" t="s">
        <v>528</v>
      </c>
      <c r="D414" s="66">
        <v>41326</v>
      </c>
      <c r="E414" s="65" t="s">
        <v>1727</v>
      </c>
      <c r="F414" s="65" t="s">
        <v>246</v>
      </c>
      <c r="G414" s="65" t="s">
        <v>257</v>
      </c>
      <c r="H414" s="67">
        <v>46400</v>
      </c>
    </row>
    <row r="415" spans="1:8" ht="14.25" customHeight="1" x14ac:dyDescent="0.3">
      <c r="A415" s="65" t="s">
        <v>1196</v>
      </c>
      <c r="B415" s="65" t="s">
        <v>1197</v>
      </c>
      <c r="C415" s="65" t="s">
        <v>383</v>
      </c>
      <c r="D415" s="66">
        <v>41339</v>
      </c>
      <c r="E415" s="65" t="s">
        <v>1734</v>
      </c>
      <c r="F415" s="65" t="s">
        <v>306</v>
      </c>
      <c r="G415" s="65" t="s">
        <v>252</v>
      </c>
      <c r="H415" s="67">
        <v>47400</v>
      </c>
    </row>
    <row r="416" spans="1:8" ht="14.25" customHeight="1" x14ac:dyDescent="0.3">
      <c r="A416" s="65" t="s">
        <v>1198</v>
      </c>
      <c r="B416" s="65" t="s">
        <v>1199</v>
      </c>
      <c r="C416" s="65" t="s">
        <v>1200</v>
      </c>
      <c r="D416" s="66">
        <v>41352</v>
      </c>
      <c r="E416" s="65" t="s">
        <v>1723</v>
      </c>
      <c r="F416" s="65" t="s">
        <v>246</v>
      </c>
      <c r="G416" s="65" t="s">
        <v>378</v>
      </c>
      <c r="H416" s="67">
        <v>46600</v>
      </c>
    </row>
    <row r="417" spans="1:8" ht="14.25" customHeight="1" x14ac:dyDescent="0.3">
      <c r="A417" s="65" t="s">
        <v>1201</v>
      </c>
      <c r="B417" s="65" t="s">
        <v>1202</v>
      </c>
      <c r="C417" s="65" t="s">
        <v>817</v>
      </c>
      <c r="D417" s="66">
        <v>41365</v>
      </c>
      <c r="E417" s="65" t="s">
        <v>1725</v>
      </c>
      <c r="F417" s="65" t="s">
        <v>270</v>
      </c>
      <c r="G417" s="65" t="s">
        <v>313</v>
      </c>
      <c r="H417" s="67">
        <v>47600</v>
      </c>
    </row>
    <row r="418" spans="1:8" ht="14.25" customHeight="1" x14ac:dyDescent="0.3">
      <c r="A418" s="65" t="s">
        <v>1203</v>
      </c>
      <c r="B418" s="65" t="s">
        <v>1204</v>
      </c>
      <c r="C418" s="65" t="s">
        <v>1205</v>
      </c>
      <c r="D418" s="66">
        <v>41378</v>
      </c>
      <c r="E418" s="65" t="s">
        <v>1725</v>
      </c>
      <c r="F418" s="65" t="s">
        <v>270</v>
      </c>
      <c r="G418" s="65" t="s">
        <v>257</v>
      </c>
      <c r="H418" s="67">
        <v>46800</v>
      </c>
    </row>
    <row r="419" spans="1:8" ht="14.25" customHeight="1" x14ac:dyDescent="0.3">
      <c r="A419" s="65" t="s">
        <v>1206</v>
      </c>
      <c r="B419" s="65" t="s">
        <v>1207</v>
      </c>
      <c r="C419" s="65" t="s">
        <v>448</v>
      </c>
      <c r="D419" s="66">
        <v>41391</v>
      </c>
      <c r="E419" s="65" t="s">
        <v>1723</v>
      </c>
      <c r="F419" s="65" t="s">
        <v>246</v>
      </c>
      <c r="G419" s="65" t="s">
        <v>252</v>
      </c>
      <c r="H419" s="67">
        <v>47800</v>
      </c>
    </row>
    <row r="420" spans="1:8" ht="14.25" customHeight="1" x14ac:dyDescent="0.3">
      <c r="A420" s="65" t="s">
        <v>1208</v>
      </c>
      <c r="B420" s="65" t="s">
        <v>1209</v>
      </c>
      <c r="C420" s="65" t="s">
        <v>1210</v>
      </c>
      <c r="D420" s="66">
        <v>41404</v>
      </c>
      <c r="E420" s="65" t="s">
        <v>1730</v>
      </c>
      <c r="F420" s="65" t="s">
        <v>237</v>
      </c>
      <c r="G420" s="65" t="s">
        <v>332</v>
      </c>
      <c r="H420" s="67">
        <v>47000</v>
      </c>
    </row>
    <row r="421" spans="1:8" ht="14.25" customHeight="1" x14ac:dyDescent="0.3">
      <c r="A421" s="65" t="s">
        <v>1211</v>
      </c>
      <c r="B421" s="65" t="s">
        <v>1212</v>
      </c>
      <c r="C421" s="65" t="s">
        <v>279</v>
      </c>
      <c r="D421" s="66">
        <v>41417</v>
      </c>
      <c r="E421" s="65" t="s">
        <v>1725</v>
      </c>
      <c r="F421" s="65" t="s">
        <v>270</v>
      </c>
      <c r="G421" s="65" t="s">
        <v>257</v>
      </c>
      <c r="H421" s="67">
        <v>48000</v>
      </c>
    </row>
    <row r="422" spans="1:8" ht="14.25" customHeight="1" x14ac:dyDescent="0.3">
      <c r="A422" s="65" t="s">
        <v>1213</v>
      </c>
      <c r="B422" s="65" t="s">
        <v>1214</v>
      </c>
      <c r="C422" s="65" t="s">
        <v>288</v>
      </c>
      <c r="D422" s="66">
        <v>41430</v>
      </c>
      <c r="E422" s="65" t="s">
        <v>1725</v>
      </c>
      <c r="F422" s="65" t="s">
        <v>270</v>
      </c>
      <c r="G422" s="65" t="s">
        <v>257</v>
      </c>
      <c r="H422" s="67">
        <v>47700</v>
      </c>
    </row>
    <row r="423" spans="1:8" ht="14.25" customHeight="1" x14ac:dyDescent="0.3">
      <c r="A423" s="65" t="s">
        <v>1215</v>
      </c>
      <c r="B423" s="65" t="s">
        <v>1216</v>
      </c>
      <c r="C423" s="65" t="s">
        <v>305</v>
      </c>
      <c r="D423" s="66">
        <v>41443</v>
      </c>
      <c r="E423" s="65" t="s">
        <v>1727</v>
      </c>
      <c r="F423" s="65" t="s">
        <v>246</v>
      </c>
      <c r="G423" s="65" t="s">
        <v>300</v>
      </c>
      <c r="H423" s="67">
        <v>47400</v>
      </c>
    </row>
    <row r="424" spans="1:8" ht="14.25" customHeight="1" x14ac:dyDescent="0.3">
      <c r="A424" s="65" t="s">
        <v>1217</v>
      </c>
      <c r="B424" s="65" t="s">
        <v>1218</v>
      </c>
      <c r="C424" s="65" t="s">
        <v>611</v>
      </c>
      <c r="D424" s="66">
        <v>41456</v>
      </c>
      <c r="E424" s="65" t="s">
        <v>1730</v>
      </c>
      <c r="F424" s="65" t="s">
        <v>237</v>
      </c>
      <c r="G424" s="65" t="s">
        <v>257</v>
      </c>
      <c r="H424" s="67">
        <v>47100</v>
      </c>
    </row>
    <row r="425" spans="1:8" ht="14.25" customHeight="1" x14ac:dyDescent="0.3">
      <c r="A425" s="65" t="s">
        <v>1219</v>
      </c>
      <c r="B425" s="65" t="s">
        <v>1220</v>
      </c>
      <c r="C425" s="65" t="s">
        <v>448</v>
      </c>
      <c r="D425" s="66">
        <v>41469</v>
      </c>
      <c r="E425" s="65" t="s">
        <v>1725</v>
      </c>
      <c r="F425" s="65" t="s">
        <v>270</v>
      </c>
      <c r="G425" s="65" t="s">
        <v>252</v>
      </c>
      <c r="H425" s="67">
        <v>46800</v>
      </c>
    </row>
    <row r="426" spans="1:8" ht="14.25" customHeight="1" x14ac:dyDescent="0.3">
      <c r="A426" s="65" t="s">
        <v>1221</v>
      </c>
      <c r="B426" s="65" t="s">
        <v>1222</v>
      </c>
      <c r="C426" s="65" t="s">
        <v>656</v>
      </c>
      <c r="D426" s="66">
        <v>41482</v>
      </c>
      <c r="E426" s="65" t="s">
        <v>1726</v>
      </c>
      <c r="F426" s="65" t="s">
        <v>284</v>
      </c>
      <c r="G426" s="65" t="s">
        <v>285</v>
      </c>
      <c r="H426" s="67">
        <v>46500</v>
      </c>
    </row>
    <row r="427" spans="1:8" ht="14.25" customHeight="1" x14ac:dyDescent="0.3">
      <c r="A427" s="65" t="s">
        <v>1223</v>
      </c>
      <c r="B427" s="65" t="s">
        <v>1224</v>
      </c>
      <c r="C427" s="65" t="s">
        <v>1225</v>
      </c>
      <c r="D427" s="66">
        <v>41495</v>
      </c>
      <c r="E427" s="65" t="s">
        <v>1725</v>
      </c>
      <c r="F427" s="65" t="s">
        <v>270</v>
      </c>
      <c r="G427" s="65" t="s">
        <v>343</v>
      </c>
      <c r="H427" s="67">
        <v>46200</v>
      </c>
    </row>
    <row r="428" spans="1:8" ht="14.25" customHeight="1" x14ac:dyDescent="0.3">
      <c r="A428" s="65" t="s">
        <v>1226</v>
      </c>
      <c r="B428" s="65" t="s">
        <v>1227</v>
      </c>
      <c r="C428" s="65" t="s">
        <v>715</v>
      </c>
      <c r="D428" s="66">
        <v>41508</v>
      </c>
      <c r="E428" s="65" t="s">
        <v>1727</v>
      </c>
      <c r="F428" s="65" t="s">
        <v>246</v>
      </c>
      <c r="G428" s="65" t="s">
        <v>300</v>
      </c>
      <c r="H428" s="67">
        <v>45900</v>
      </c>
    </row>
    <row r="429" spans="1:8" ht="14.25" customHeight="1" x14ac:dyDescent="0.3">
      <c r="A429" s="65" t="s">
        <v>1228</v>
      </c>
      <c r="B429" s="65" t="s">
        <v>1229</v>
      </c>
      <c r="C429" s="65" t="s">
        <v>611</v>
      </c>
      <c r="D429" s="66">
        <v>41521</v>
      </c>
      <c r="E429" s="65" t="s">
        <v>1727</v>
      </c>
      <c r="F429" s="65" t="s">
        <v>246</v>
      </c>
      <c r="G429" s="65" t="s">
        <v>257</v>
      </c>
      <c r="H429" s="67">
        <v>45600</v>
      </c>
    </row>
    <row r="430" spans="1:8" ht="14.25" customHeight="1" x14ac:dyDescent="0.3">
      <c r="A430" s="65" t="s">
        <v>1230</v>
      </c>
      <c r="B430" s="65" t="s">
        <v>1231</v>
      </c>
      <c r="C430" s="65" t="s">
        <v>565</v>
      </c>
      <c r="D430" s="66">
        <v>41534</v>
      </c>
      <c r="E430" s="65" t="s">
        <v>1727</v>
      </c>
      <c r="F430" s="65" t="s">
        <v>246</v>
      </c>
      <c r="G430" s="65" t="s">
        <v>257</v>
      </c>
      <c r="H430" s="67">
        <v>45300</v>
      </c>
    </row>
    <row r="431" spans="1:8" ht="14.25" customHeight="1" x14ac:dyDescent="0.3">
      <c r="A431" s="65" t="s">
        <v>1232</v>
      </c>
      <c r="B431" s="65" t="s">
        <v>1233</v>
      </c>
      <c r="C431" s="65" t="s">
        <v>989</v>
      </c>
      <c r="D431" s="66">
        <v>41547</v>
      </c>
      <c r="E431" s="65" t="s">
        <v>320</v>
      </c>
      <c r="F431" s="65" t="s">
        <v>320</v>
      </c>
      <c r="G431" s="65" t="s">
        <v>257</v>
      </c>
      <c r="H431" s="67">
        <v>45000</v>
      </c>
    </row>
    <row r="432" spans="1:8" ht="14.25" customHeight="1" x14ac:dyDescent="0.3">
      <c r="A432" s="65" t="s">
        <v>1234</v>
      </c>
      <c r="B432" s="65" t="s">
        <v>1235</v>
      </c>
      <c r="C432" s="65" t="s">
        <v>466</v>
      </c>
      <c r="D432" s="66">
        <v>41560</v>
      </c>
      <c r="E432" s="65" t="s">
        <v>1725</v>
      </c>
      <c r="F432" s="65" t="s">
        <v>270</v>
      </c>
      <c r="G432" s="65" t="s">
        <v>300</v>
      </c>
      <c r="H432" s="67">
        <v>44700</v>
      </c>
    </row>
    <row r="433" spans="1:8" ht="14.25" customHeight="1" x14ac:dyDescent="0.3">
      <c r="A433" s="65" t="s">
        <v>1236</v>
      </c>
      <c r="B433" s="65" t="s">
        <v>1237</v>
      </c>
      <c r="C433" s="65" t="s">
        <v>1238</v>
      </c>
      <c r="D433" s="66">
        <v>41573</v>
      </c>
      <c r="E433" s="65" t="s">
        <v>234</v>
      </c>
      <c r="F433" s="65" t="s">
        <v>236</v>
      </c>
      <c r="G433" s="65" t="s">
        <v>257</v>
      </c>
      <c r="H433" s="67">
        <v>44400</v>
      </c>
    </row>
    <row r="434" spans="1:8" ht="14.25" customHeight="1" x14ac:dyDescent="0.3">
      <c r="A434" s="65" t="s">
        <v>1239</v>
      </c>
      <c r="B434" s="65" t="s">
        <v>1240</v>
      </c>
      <c r="C434" s="65" t="s">
        <v>466</v>
      </c>
      <c r="D434" s="66">
        <v>41586</v>
      </c>
      <c r="E434" s="65" t="s">
        <v>1723</v>
      </c>
      <c r="F434" s="65" t="s">
        <v>246</v>
      </c>
      <c r="G434" s="65" t="s">
        <v>300</v>
      </c>
      <c r="H434" s="67">
        <v>44100</v>
      </c>
    </row>
    <row r="435" spans="1:8" ht="14.25" customHeight="1" x14ac:dyDescent="0.3">
      <c r="A435" s="65" t="s">
        <v>1241</v>
      </c>
      <c r="B435" s="65" t="s">
        <v>1242</v>
      </c>
      <c r="C435" s="65" t="s">
        <v>623</v>
      </c>
      <c r="D435" s="66">
        <v>41599</v>
      </c>
      <c r="E435" s="65" t="s">
        <v>1730</v>
      </c>
      <c r="F435" s="65" t="s">
        <v>237</v>
      </c>
      <c r="G435" s="65" t="s">
        <v>367</v>
      </c>
      <c r="H435" s="67">
        <v>43800</v>
      </c>
    </row>
    <row r="436" spans="1:8" ht="14.25" customHeight="1" x14ac:dyDescent="0.3">
      <c r="A436" s="65" t="s">
        <v>1243</v>
      </c>
      <c r="B436" s="65" t="s">
        <v>1244</v>
      </c>
      <c r="C436" s="65" t="s">
        <v>715</v>
      </c>
      <c r="D436" s="66">
        <v>41612</v>
      </c>
      <c r="E436" s="65" t="s">
        <v>320</v>
      </c>
      <c r="F436" s="65" t="s">
        <v>320</v>
      </c>
      <c r="G436" s="65" t="s">
        <v>300</v>
      </c>
      <c r="H436" s="67">
        <v>43500</v>
      </c>
    </row>
    <row r="437" spans="1:8" ht="14.25" customHeight="1" x14ac:dyDescent="0.3">
      <c r="A437" s="65" t="s">
        <v>1245</v>
      </c>
      <c r="B437" s="65" t="s">
        <v>1246</v>
      </c>
      <c r="C437" s="65" t="s">
        <v>1247</v>
      </c>
      <c r="D437" s="66">
        <v>41625</v>
      </c>
      <c r="E437" s="65" t="s">
        <v>1725</v>
      </c>
      <c r="F437" s="65" t="s">
        <v>270</v>
      </c>
      <c r="G437" s="65" t="s">
        <v>343</v>
      </c>
      <c r="H437" s="67">
        <v>43200</v>
      </c>
    </row>
    <row r="438" spans="1:8" ht="14.25" customHeight="1" x14ac:dyDescent="0.3">
      <c r="A438" s="65" t="s">
        <v>1248</v>
      </c>
      <c r="B438" s="65" t="s">
        <v>1249</v>
      </c>
      <c r="C438" s="65" t="s">
        <v>623</v>
      </c>
      <c r="D438" s="66">
        <v>41638</v>
      </c>
      <c r="E438" s="65" t="s">
        <v>1729</v>
      </c>
      <c r="F438" s="65" t="s">
        <v>377</v>
      </c>
      <c r="G438" s="65" t="s">
        <v>367</v>
      </c>
      <c r="H438" s="67">
        <v>42900</v>
      </c>
    </row>
    <row r="439" spans="1:8" ht="14.25" customHeight="1" x14ac:dyDescent="0.3">
      <c r="A439" s="65" t="s">
        <v>1250</v>
      </c>
      <c r="B439" s="65" t="s">
        <v>1251</v>
      </c>
      <c r="C439" s="65" t="s">
        <v>623</v>
      </c>
      <c r="D439" s="66">
        <v>41651</v>
      </c>
      <c r="E439" s="65" t="s">
        <v>1725</v>
      </c>
      <c r="F439" s="65" t="s">
        <v>270</v>
      </c>
      <c r="G439" s="65" t="s">
        <v>367</v>
      </c>
      <c r="H439" s="67">
        <v>42600</v>
      </c>
    </row>
    <row r="440" spans="1:8" ht="14.25" customHeight="1" x14ac:dyDescent="0.3">
      <c r="A440" s="65" t="s">
        <v>1252</v>
      </c>
      <c r="B440" s="65" t="s">
        <v>1253</v>
      </c>
      <c r="C440" s="65" t="s">
        <v>691</v>
      </c>
      <c r="D440" s="66">
        <v>41664</v>
      </c>
      <c r="E440" s="65" t="s">
        <v>1723</v>
      </c>
      <c r="F440" s="65" t="s">
        <v>246</v>
      </c>
      <c r="G440" s="65" t="s">
        <v>271</v>
      </c>
      <c r="H440" s="67">
        <v>42300</v>
      </c>
    </row>
    <row r="441" spans="1:8" ht="14.25" customHeight="1" x14ac:dyDescent="0.3">
      <c r="A441" s="65" t="s">
        <v>1254</v>
      </c>
      <c r="B441" s="65" t="s">
        <v>1255</v>
      </c>
      <c r="C441" s="65" t="s">
        <v>335</v>
      </c>
      <c r="D441" s="66">
        <v>41677</v>
      </c>
      <c r="E441" s="65" t="s">
        <v>1725</v>
      </c>
      <c r="F441" s="65" t="s">
        <v>270</v>
      </c>
      <c r="G441" s="65" t="s">
        <v>252</v>
      </c>
      <c r="H441" s="67">
        <v>42000</v>
      </c>
    </row>
    <row r="442" spans="1:8" ht="14.25" customHeight="1" x14ac:dyDescent="0.3">
      <c r="A442" s="65" t="s">
        <v>1256</v>
      </c>
      <c r="B442" s="65" t="s">
        <v>1257</v>
      </c>
      <c r="C442" s="65" t="s">
        <v>288</v>
      </c>
      <c r="D442" s="66">
        <v>41690</v>
      </c>
      <c r="E442" s="65" t="s">
        <v>1725</v>
      </c>
      <c r="F442" s="65" t="s">
        <v>270</v>
      </c>
      <c r="G442" s="65" t="s">
        <v>257</v>
      </c>
      <c r="H442" s="67">
        <v>41700</v>
      </c>
    </row>
    <row r="443" spans="1:8" ht="14.25" customHeight="1" x14ac:dyDescent="0.3">
      <c r="A443" s="65" t="s">
        <v>1258</v>
      </c>
      <c r="B443" s="65" t="s">
        <v>1259</v>
      </c>
      <c r="C443" s="65" t="s">
        <v>1260</v>
      </c>
      <c r="D443" s="66">
        <v>41703</v>
      </c>
      <c r="E443" s="65" t="s">
        <v>1730</v>
      </c>
      <c r="F443" s="65" t="s">
        <v>237</v>
      </c>
      <c r="G443" s="65" t="s">
        <v>317</v>
      </c>
      <c r="H443" s="67">
        <v>41400</v>
      </c>
    </row>
    <row r="444" spans="1:8" ht="14.25" customHeight="1" x14ac:dyDescent="0.3">
      <c r="A444" s="65" t="s">
        <v>1261</v>
      </c>
      <c r="B444" s="65" t="s">
        <v>1262</v>
      </c>
      <c r="C444" s="65" t="s">
        <v>288</v>
      </c>
      <c r="D444" s="66">
        <v>41716</v>
      </c>
      <c r="E444" s="65" t="s">
        <v>1723</v>
      </c>
      <c r="F444" s="65" t="s">
        <v>246</v>
      </c>
      <c r="G444" s="65" t="s">
        <v>257</v>
      </c>
      <c r="H444" s="67">
        <v>41100</v>
      </c>
    </row>
    <row r="445" spans="1:8" ht="14.25" customHeight="1" x14ac:dyDescent="0.3">
      <c r="A445" s="65" t="s">
        <v>1263</v>
      </c>
      <c r="B445" s="65" t="s">
        <v>1264</v>
      </c>
      <c r="C445" s="65" t="s">
        <v>476</v>
      </c>
      <c r="D445" s="66">
        <v>41729</v>
      </c>
      <c r="E445" s="65" t="s">
        <v>1723</v>
      </c>
      <c r="F445" s="65" t="s">
        <v>246</v>
      </c>
      <c r="G445" s="65" t="s">
        <v>296</v>
      </c>
      <c r="H445" s="67">
        <v>40800</v>
      </c>
    </row>
    <row r="446" spans="1:8" ht="14.25" customHeight="1" x14ac:dyDescent="0.3">
      <c r="A446" s="65" t="s">
        <v>1265</v>
      </c>
      <c r="B446" s="65" t="s">
        <v>1266</v>
      </c>
      <c r="C446" s="65" t="s">
        <v>514</v>
      </c>
      <c r="D446" s="66">
        <v>41742</v>
      </c>
      <c r="E446" s="65" t="s">
        <v>320</v>
      </c>
      <c r="F446" s="65" t="s">
        <v>320</v>
      </c>
      <c r="G446" s="65" t="s">
        <v>257</v>
      </c>
      <c r="H446" s="67">
        <v>40500</v>
      </c>
    </row>
    <row r="447" spans="1:8" ht="14.25" customHeight="1" x14ac:dyDescent="0.3">
      <c r="A447" s="65" t="s">
        <v>1267</v>
      </c>
      <c r="B447" s="65" t="s">
        <v>1268</v>
      </c>
      <c r="C447" s="65" t="s">
        <v>514</v>
      </c>
      <c r="D447" s="66">
        <v>41755</v>
      </c>
      <c r="E447" s="65" t="s">
        <v>1727</v>
      </c>
      <c r="F447" s="65" t="s">
        <v>246</v>
      </c>
      <c r="G447" s="65" t="s">
        <v>257</v>
      </c>
      <c r="H447" s="67">
        <v>40200</v>
      </c>
    </row>
    <row r="448" spans="1:8" ht="14.25" customHeight="1" x14ac:dyDescent="0.3">
      <c r="A448" s="65" t="s">
        <v>1269</v>
      </c>
      <c r="B448" s="65" t="s">
        <v>1270</v>
      </c>
      <c r="C448" s="65" t="s">
        <v>897</v>
      </c>
      <c r="D448" s="66">
        <v>41768</v>
      </c>
      <c r="E448" s="65" t="s">
        <v>1727</v>
      </c>
      <c r="F448" s="65" t="s">
        <v>246</v>
      </c>
      <c r="G448" s="65" t="s">
        <v>367</v>
      </c>
      <c r="H448" s="67">
        <v>39900</v>
      </c>
    </row>
    <row r="449" spans="1:8" ht="14.25" customHeight="1" x14ac:dyDescent="0.3">
      <c r="A449" s="65" t="s">
        <v>1271</v>
      </c>
      <c r="B449" s="65" t="s">
        <v>1272</v>
      </c>
      <c r="C449" s="65" t="s">
        <v>466</v>
      </c>
      <c r="D449" s="66">
        <v>41781</v>
      </c>
      <c r="E449" s="65" t="s">
        <v>237</v>
      </c>
      <c r="F449" s="65" t="s">
        <v>237</v>
      </c>
      <c r="G449" s="65" t="s">
        <v>300</v>
      </c>
      <c r="H449" s="67">
        <v>39600</v>
      </c>
    </row>
    <row r="450" spans="1:8" ht="14.25" customHeight="1" x14ac:dyDescent="0.3">
      <c r="A450" s="65" t="s">
        <v>1273</v>
      </c>
      <c r="B450" s="65" t="s">
        <v>1274</v>
      </c>
      <c r="C450" s="65" t="s">
        <v>611</v>
      </c>
      <c r="D450" s="66">
        <v>41794</v>
      </c>
      <c r="E450" s="65" t="s">
        <v>1729</v>
      </c>
      <c r="F450" s="65" t="s">
        <v>377</v>
      </c>
      <c r="G450" s="65" t="s">
        <v>257</v>
      </c>
      <c r="H450" s="67">
        <v>39300</v>
      </c>
    </row>
    <row r="451" spans="1:8" ht="14.25" customHeight="1" x14ac:dyDescent="0.3">
      <c r="A451" s="65" t="s">
        <v>1275</v>
      </c>
      <c r="B451" s="65" t="s">
        <v>1276</v>
      </c>
      <c r="C451" s="65" t="s">
        <v>279</v>
      </c>
      <c r="D451" s="66">
        <v>41807</v>
      </c>
      <c r="E451" s="65" t="s">
        <v>1725</v>
      </c>
      <c r="F451" s="65" t="s">
        <v>270</v>
      </c>
      <c r="G451" s="65" t="s">
        <v>257</v>
      </c>
      <c r="H451" s="67">
        <v>39000</v>
      </c>
    </row>
    <row r="452" spans="1:8" ht="14.25" customHeight="1" x14ac:dyDescent="0.3">
      <c r="A452" s="65" t="s">
        <v>1277</v>
      </c>
      <c r="B452" s="65" t="s">
        <v>1278</v>
      </c>
      <c r="C452" s="65" t="s">
        <v>357</v>
      </c>
      <c r="D452" s="66">
        <v>41820</v>
      </c>
      <c r="E452" s="65" t="s">
        <v>1725</v>
      </c>
      <c r="F452" s="65" t="s">
        <v>270</v>
      </c>
      <c r="G452" s="65" t="s">
        <v>257</v>
      </c>
      <c r="H452" s="67">
        <v>38700</v>
      </c>
    </row>
    <row r="453" spans="1:8" ht="14.25" customHeight="1" x14ac:dyDescent="0.3">
      <c r="A453" s="65" t="s">
        <v>1279</v>
      </c>
      <c r="B453" s="65" t="s">
        <v>1280</v>
      </c>
      <c r="C453" s="65" t="s">
        <v>872</v>
      </c>
      <c r="D453" s="66">
        <v>41833</v>
      </c>
      <c r="E453" s="65" t="s">
        <v>1729</v>
      </c>
      <c r="F453" s="65" t="s">
        <v>377</v>
      </c>
      <c r="G453" s="65" t="s">
        <v>252</v>
      </c>
      <c r="H453" s="67">
        <v>38400</v>
      </c>
    </row>
    <row r="454" spans="1:8" ht="14.25" customHeight="1" x14ac:dyDescent="0.3">
      <c r="A454" s="65" t="s">
        <v>1281</v>
      </c>
      <c r="B454" s="65" t="s">
        <v>1282</v>
      </c>
      <c r="C454" s="65" t="s">
        <v>357</v>
      </c>
      <c r="D454" s="66">
        <v>41846</v>
      </c>
      <c r="E454" s="65" t="s">
        <v>1725</v>
      </c>
      <c r="F454" s="65" t="s">
        <v>270</v>
      </c>
      <c r="G454" s="65" t="s">
        <v>257</v>
      </c>
      <c r="H454" s="67">
        <v>38100</v>
      </c>
    </row>
    <row r="455" spans="1:8" ht="14.25" customHeight="1" x14ac:dyDescent="0.3">
      <c r="A455" s="65" t="s">
        <v>1283</v>
      </c>
      <c r="B455" s="65" t="s">
        <v>1284</v>
      </c>
      <c r="C455" s="65" t="s">
        <v>357</v>
      </c>
      <c r="D455" s="66">
        <v>41859</v>
      </c>
      <c r="E455" s="65" t="s">
        <v>1725</v>
      </c>
      <c r="F455" s="65" t="s">
        <v>270</v>
      </c>
      <c r="G455" s="65" t="s">
        <v>257</v>
      </c>
      <c r="H455" s="67">
        <v>37800</v>
      </c>
    </row>
    <row r="456" spans="1:8" ht="14.25" customHeight="1" x14ac:dyDescent="0.3">
      <c r="A456" s="65" t="s">
        <v>1285</v>
      </c>
      <c r="B456" s="65" t="s">
        <v>1286</v>
      </c>
      <c r="C456" s="65" t="s">
        <v>801</v>
      </c>
      <c r="D456" s="66">
        <v>41872</v>
      </c>
      <c r="E456" s="65" t="s">
        <v>1725</v>
      </c>
      <c r="F456" s="65" t="s">
        <v>270</v>
      </c>
      <c r="G456" s="65" t="s">
        <v>296</v>
      </c>
      <c r="H456" s="67">
        <v>37500</v>
      </c>
    </row>
    <row r="457" spans="1:8" ht="14.25" customHeight="1" x14ac:dyDescent="0.3">
      <c r="A457" s="65" t="s">
        <v>1287</v>
      </c>
      <c r="B457" s="65" t="s">
        <v>1288</v>
      </c>
      <c r="C457" s="65" t="s">
        <v>335</v>
      </c>
      <c r="D457" s="66">
        <v>41885</v>
      </c>
      <c r="E457" s="65" t="s">
        <v>1725</v>
      </c>
      <c r="F457" s="65" t="s">
        <v>270</v>
      </c>
      <c r="G457" s="65" t="s">
        <v>252</v>
      </c>
      <c r="H457" s="67">
        <v>37200</v>
      </c>
    </row>
    <row r="458" spans="1:8" ht="14.25" customHeight="1" x14ac:dyDescent="0.3">
      <c r="A458" s="65" t="s">
        <v>1289</v>
      </c>
      <c r="B458" s="65" t="s">
        <v>1290</v>
      </c>
      <c r="C458" s="65" t="s">
        <v>1291</v>
      </c>
      <c r="D458" s="66">
        <v>41898</v>
      </c>
      <c r="E458" s="65" t="s">
        <v>1725</v>
      </c>
      <c r="F458" s="65" t="s">
        <v>270</v>
      </c>
      <c r="G458" s="65" t="s">
        <v>339</v>
      </c>
      <c r="H458" s="67">
        <v>36900</v>
      </c>
    </row>
    <row r="459" spans="1:8" ht="14.25" customHeight="1" x14ac:dyDescent="0.3">
      <c r="A459" s="65" t="s">
        <v>1292</v>
      </c>
      <c r="B459" s="65" t="s">
        <v>1293</v>
      </c>
      <c r="C459" s="65" t="s">
        <v>351</v>
      </c>
      <c r="D459" s="66">
        <v>41911</v>
      </c>
      <c r="E459" s="65" t="s">
        <v>1725</v>
      </c>
      <c r="F459" s="65" t="s">
        <v>270</v>
      </c>
      <c r="G459" s="65" t="s">
        <v>332</v>
      </c>
      <c r="H459" s="67">
        <v>36600</v>
      </c>
    </row>
    <row r="460" spans="1:8" ht="14.25" customHeight="1" x14ac:dyDescent="0.3">
      <c r="A460" s="65" t="s">
        <v>1294</v>
      </c>
      <c r="B460" s="65" t="s">
        <v>1295</v>
      </c>
      <c r="C460" s="65" t="s">
        <v>357</v>
      </c>
      <c r="D460" s="66">
        <v>41924</v>
      </c>
      <c r="E460" s="65" t="s">
        <v>1725</v>
      </c>
      <c r="F460" s="65" t="s">
        <v>270</v>
      </c>
      <c r="G460" s="65" t="s">
        <v>257</v>
      </c>
      <c r="H460" s="67">
        <v>36300</v>
      </c>
    </row>
    <row r="461" spans="1:8" ht="14.25" customHeight="1" x14ac:dyDescent="0.3">
      <c r="A461" s="65" t="s">
        <v>1296</v>
      </c>
      <c r="B461" s="65" t="s">
        <v>1297</v>
      </c>
      <c r="C461" s="65" t="s">
        <v>357</v>
      </c>
      <c r="D461" s="66">
        <v>41937</v>
      </c>
      <c r="E461" s="65" t="s">
        <v>1725</v>
      </c>
      <c r="F461" s="65" t="s">
        <v>270</v>
      </c>
      <c r="G461" s="65" t="s">
        <v>257</v>
      </c>
      <c r="H461" s="67">
        <v>36000</v>
      </c>
    </row>
    <row r="462" spans="1:8" ht="14.25" customHeight="1" x14ac:dyDescent="0.3">
      <c r="A462" s="65" t="s">
        <v>1298</v>
      </c>
      <c r="B462" s="65" t="s">
        <v>1299</v>
      </c>
      <c r="C462" s="65" t="s">
        <v>1300</v>
      </c>
      <c r="D462" s="66">
        <v>41950</v>
      </c>
      <c r="E462" s="65" t="s">
        <v>1725</v>
      </c>
      <c r="F462" s="65" t="s">
        <v>270</v>
      </c>
      <c r="G462" s="65" t="s">
        <v>300</v>
      </c>
      <c r="H462" s="67">
        <v>35700</v>
      </c>
    </row>
    <row r="463" spans="1:8" ht="14.25" customHeight="1" x14ac:dyDescent="0.3">
      <c r="A463" s="65" t="s">
        <v>1301</v>
      </c>
      <c r="B463" s="65" t="s">
        <v>1302</v>
      </c>
      <c r="C463" s="65" t="s">
        <v>801</v>
      </c>
      <c r="D463" s="66">
        <v>41963</v>
      </c>
      <c r="E463" s="65" t="s">
        <v>1729</v>
      </c>
      <c r="F463" s="65" t="s">
        <v>377</v>
      </c>
      <c r="G463" s="65" t="s">
        <v>296</v>
      </c>
      <c r="H463" s="67">
        <v>35400</v>
      </c>
    </row>
    <row r="464" spans="1:8" ht="14.25" customHeight="1" x14ac:dyDescent="0.3">
      <c r="A464" s="65" t="s">
        <v>1303</v>
      </c>
      <c r="B464" s="65" t="s">
        <v>1304</v>
      </c>
      <c r="C464" s="65" t="s">
        <v>479</v>
      </c>
      <c r="D464" s="66">
        <v>41976</v>
      </c>
      <c r="E464" s="65" t="s">
        <v>1725</v>
      </c>
      <c r="F464" s="65" t="s">
        <v>270</v>
      </c>
      <c r="G464" s="65" t="s">
        <v>332</v>
      </c>
      <c r="H464" s="67">
        <v>35100</v>
      </c>
    </row>
    <row r="465" spans="1:8" ht="14.25" customHeight="1" x14ac:dyDescent="0.3">
      <c r="A465" s="65" t="s">
        <v>1305</v>
      </c>
      <c r="B465" s="65" t="s">
        <v>1306</v>
      </c>
      <c r="C465" s="65" t="s">
        <v>822</v>
      </c>
      <c r="D465" s="66">
        <v>41989</v>
      </c>
      <c r="E465" s="65" t="s">
        <v>1723</v>
      </c>
      <c r="F465" s="65" t="s">
        <v>246</v>
      </c>
      <c r="G465" s="65" t="s">
        <v>339</v>
      </c>
      <c r="H465" s="67">
        <v>34800</v>
      </c>
    </row>
    <row r="466" spans="1:8" ht="14.25" customHeight="1" x14ac:dyDescent="0.3">
      <c r="A466" s="65" t="s">
        <v>1307</v>
      </c>
      <c r="B466" s="65" t="s">
        <v>1308</v>
      </c>
      <c r="C466" s="65" t="s">
        <v>391</v>
      </c>
      <c r="D466" s="66">
        <v>42002</v>
      </c>
      <c r="E466" s="65" t="s">
        <v>1727</v>
      </c>
      <c r="F466" s="65" t="s">
        <v>246</v>
      </c>
      <c r="G466" s="65" t="s">
        <v>257</v>
      </c>
      <c r="H466" s="67">
        <v>34500</v>
      </c>
    </row>
    <row r="467" spans="1:8" ht="14.25" customHeight="1" x14ac:dyDescent="0.3">
      <c r="A467" s="65" t="s">
        <v>1309</v>
      </c>
      <c r="B467" s="65" t="s">
        <v>1310</v>
      </c>
      <c r="C467" s="65" t="s">
        <v>1311</v>
      </c>
      <c r="D467" s="66">
        <v>42015</v>
      </c>
      <c r="E467" s="65" t="s">
        <v>1723</v>
      </c>
      <c r="F467" s="65" t="s">
        <v>246</v>
      </c>
      <c r="G467" s="65" t="s">
        <v>501</v>
      </c>
      <c r="H467" s="67">
        <v>34200</v>
      </c>
    </row>
    <row r="468" spans="1:8" ht="14.25" customHeight="1" x14ac:dyDescent="0.3">
      <c r="A468" s="65" t="s">
        <v>1312</v>
      </c>
      <c r="B468" s="65" t="s">
        <v>1313</v>
      </c>
      <c r="C468" s="65" t="s">
        <v>733</v>
      </c>
      <c r="D468" s="66">
        <v>42028</v>
      </c>
      <c r="E468" s="65" t="s">
        <v>1725</v>
      </c>
      <c r="F468" s="65" t="s">
        <v>270</v>
      </c>
      <c r="G468" s="65" t="s">
        <v>367</v>
      </c>
      <c r="H468" s="67">
        <v>33900</v>
      </c>
    </row>
    <row r="469" spans="1:8" ht="14.25" customHeight="1" x14ac:dyDescent="0.3">
      <c r="A469" s="65" t="s">
        <v>1314</v>
      </c>
      <c r="B469" s="65" t="s">
        <v>1315</v>
      </c>
      <c r="C469" s="65" t="s">
        <v>438</v>
      </c>
      <c r="D469" s="66">
        <v>42041</v>
      </c>
      <c r="E469" s="65" t="s">
        <v>1725</v>
      </c>
      <c r="F469" s="65" t="s">
        <v>270</v>
      </c>
      <c r="G469" s="65" t="s">
        <v>252</v>
      </c>
      <c r="H469" s="67">
        <v>33600</v>
      </c>
    </row>
    <row r="470" spans="1:8" ht="14.25" customHeight="1" x14ac:dyDescent="0.3">
      <c r="A470" s="65" t="s">
        <v>1316</v>
      </c>
      <c r="B470" s="65" t="s">
        <v>1317</v>
      </c>
      <c r="C470" s="65" t="s">
        <v>715</v>
      </c>
      <c r="D470" s="66">
        <v>42054</v>
      </c>
      <c r="E470" s="65" t="s">
        <v>1725</v>
      </c>
      <c r="F470" s="65" t="s">
        <v>270</v>
      </c>
      <c r="G470" s="65" t="s">
        <v>300</v>
      </c>
      <c r="H470" s="67">
        <v>33300</v>
      </c>
    </row>
    <row r="471" spans="1:8" ht="14.25" customHeight="1" x14ac:dyDescent="0.3">
      <c r="A471" s="65" t="s">
        <v>1318</v>
      </c>
      <c r="B471" s="65" t="s">
        <v>1319</v>
      </c>
      <c r="C471" s="65" t="s">
        <v>275</v>
      </c>
      <c r="D471" s="66">
        <v>42067</v>
      </c>
      <c r="E471" s="65" t="s">
        <v>1731</v>
      </c>
      <c r="F471" s="65" t="s">
        <v>449</v>
      </c>
      <c r="G471" s="65" t="s">
        <v>257</v>
      </c>
      <c r="H471" s="67">
        <v>33000</v>
      </c>
    </row>
    <row r="472" spans="1:8" ht="14.25" customHeight="1" x14ac:dyDescent="0.3">
      <c r="A472" s="65" t="s">
        <v>1320</v>
      </c>
      <c r="B472" s="65" t="s">
        <v>1321</v>
      </c>
      <c r="C472" s="65" t="s">
        <v>715</v>
      </c>
      <c r="D472" s="66">
        <v>42080</v>
      </c>
      <c r="E472" s="65" t="s">
        <v>1727</v>
      </c>
      <c r="F472" s="65" t="s">
        <v>246</v>
      </c>
      <c r="G472" s="65" t="s">
        <v>300</v>
      </c>
      <c r="H472" s="67">
        <v>32700</v>
      </c>
    </row>
    <row r="473" spans="1:8" ht="14.25" customHeight="1" x14ac:dyDescent="0.3">
      <c r="A473" s="65" t="s">
        <v>1322</v>
      </c>
      <c r="B473" s="65" t="s">
        <v>1323</v>
      </c>
      <c r="C473" s="65" t="s">
        <v>351</v>
      </c>
      <c r="D473" s="66">
        <v>42093</v>
      </c>
      <c r="E473" s="65" t="s">
        <v>237</v>
      </c>
      <c r="F473" s="65" t="s">
        <v>237</v>
      </c>
      <c r="G473" s="65" t="s">
        <v>332</v>
      </c>
      <c r="H473" s="67">
        <v>32400</v>
      </c>
    </row>
    <row r="474" spans="1:8" ht="14.25" customHeight="1" x14ac:dyDescent="0.3">
      <c r="A474" s="65" t="s">
        <v>1324</v>
      </c>
      <c r="B474" s="65" t="s">
        <v>1325</v>
      </c>
      <c r="C474" s="65" t="s">
        <v>912</v>
      </c>
      <c r="D474" s="66">
        <v>42106</v>
      </c>
      <c r="E474" s="65" t="s">
        <v>1725</v>
      </c>
      <c r="F474" s="65" t="s">
        <v>270</v>
      </c>
      <c r="G474" s="65" t="s">
        <v>300</v>
      </c>
      <c r="H474" s="67">
        <v>32100</v>
      </c>
    </row>
    <row r="475" spans="1:8" ht="14.25" customHeight="1" x14ac:dyDescent="0.3">
      <c r="A475" s="65" t="s">
        <v>1326</v>
      </c>
      <c r="B475" s="65" t="s">
        <v>1327</v>
      </c>
      <c r="C475" s="65" t="s">
        <v>466</v>
      </c>
      <c r="D475" s="66">
        <v>42119</v>
      </c>
      <c r="E475" s="65" t="s">
        <v>320</v>
      </c>
      <c r="F475" s="65" t="s">
        <v>320</v>
      </c>
      <c r="G475" s="65" t="s">
        <v>300</v>
      </c>
      <c r="H475" s="67">
        <v>31800</v>
      </c>
    </row>
    <row r="476" spans="1:8" ht="14.25" customHeight="1" x14ac:dyDescent="0.3">
      <c r="A476" s="65" t="s">
        <v>1328</v>
      </c>
      <c r="B476" s="65" t="s">
        <v>1329</v>
      </c>
      <c r="C476" s="65" t="s">
        <v>279</v>
      </c>
      <c r="D476" s="66">
        <v>42132</v>
      </c>
      <c r="E476" s="65" t="s">
        <v>320</v>
      </c>
      <c r="F476" s="65" t="s">
        <v>320</v>
      </c>
      <c r="G476" s="65" t="s">
        <v>257</v>
      </c>
      <c r="H476" s="67">
        <v>31500</v>
      </c>
    </row>
    <row r="477" spans="1:8" ht="14.25" customHeight="1" x14ac:dyDescent="0.3">
      <c r="A477" s="65" t="s">
        <v>1330</v>
      </c>
      <c r="B477" s="65" t="s">
        <v>1331</v>
      </c>
      <c r="C477" s="65" t="s">
        <v>1332</v>
      </c>
      <c r="D477" s="66">
        <v>42145</v>
      </c>
      <c r="E477" s="65" t="s">
        <v>1723</v>
      </c>
      <c r="F477" s="65" t="s">
        <v>246</v>
      </c>
      <c r="G477" s="65" t="s">
        <v>533</v>
      </c>
      <c r="H477" s="67">
        <v>31200</v>
      </c>
    </row>
    <row r="478" spans="1:8" ht="14.25" customHeight="1" x14ac:dyDescent="0.3">
      <c r="A478" s="65" t="s">
        <v>1333</v>
      </c>
      <c r="B478" s="65" t="s">
        <v>1334</v>
      </c>
      <c r="C478" s="65" t="s">
        <v>466</v>
      </c>
      <c r="D478" s="66">
        <v>42158</v>
      </c>
      <c r="E478" s="65" t="s">
        <v>234</v>
      </c>
      <c r="F478" s="65" t="s">
        <v>236</v>
      </c>
      <c r="G478" s="65" t="s">
        <v>300</v>
      </c>
      <c r="H478" s="67">
        <v>30900</v>
      </c>
    </row>
    <row r="479" spans="1:8" ht="14.25" customHeight="1" x14ac:dyDescent="0.3">
      <c r="A479" s="65" t="s">
        <v>1335</v>
      </c>
      <c r="B479" s="65" t="s">
        <v>1336</v>
      </c>
      <c r="C479" s="65" t="s">
        <v>626</v>
      </c>
      <c r="D479" s="66">
        <v>42171</v>
      </c>
      <c r="E479" s="65" t="s">
        <v>1727</v>
      </c>
      <c r="F479" s="65" t="s">
        <v>246</v>
      </c>
      <c r="G479" s="65" t="s">
        <v>296</v>
      </c>
      <c r="H479" s="67">
        <v>30600</v>
      </c>
    </row>
    <row r="480" spans="1:8" ht="14.25" customHeight="1" x14ac:dyDescent="0.3">
      <c r="A480" s="65" t="s">
        <v>1337</v>
      </c>
      <c r="B480" s="65" t="s">
        <v>1338</v>
      </c>
      <c r="C480" s="65" t="s">
        <v>1339</v>
      </c>
      <c r="D480" s="66">
        <v>42184</v>
      </c>
      <c r="E480" s="65" t="s">
        <v>1727</v>
      </c>
      <c r="F480" s="65" t="s">
        <v>246</v>
      </c>
      <c r="G480" s="65" t="s">
        <v>252</v>
      </c>
      <c r="H480" s="67">
        <v>30300</v>
      </c>
    </row>
    <row r="481" spans="1:8" ht="14.25" customHeight="1" x14ac:dyDescent="0.3">
      <c r="A481" s="65" t="s">
        <v>1340</v>
      </c>
      <c r="B481" s="65" t="s">
        <v>1341</v>
      </c>
      <c r="C481" s="65" t="s">
        <v>427</v>
      </c>
      <c r="D481" s="66">
        <v>42197</v>
      </c>
      <c r="E481" s="65" t="s">
        <v>320</v>
      </c>
      <c r="F481" s="65" t="s">
        <v>320</v>
      </c>
      <c r="G481" s="65" t="s">
        <v>257</v>
      </c>
      <c r="H481" s="67">
        <v>30000</v>
      </c>
    </row>
    <row r="482" spans="1:8" ht="14.25" customHeight="1" x14ac:dyDescent="0.3">
      <c r="A482" s="65" t="s">
        <v>1342</v>
      </c>
      <c r="B482" s="65" t="s">
        <v>1343</v>
      </c>
      <c r="C482" s="65" t="s">
        <v>715</v>
      </c>
      <c r="D482" s="66">
        <v>42210</v>
      </c>
      <c r="E482" s="65" t="s">
        <v>1723</v>
      </c>
      <c r="F482" s="65" t="s">
        <v>246</v>
      </c>
      <c r="G482" s="65" t="s">
        <v>300</v>
      </c>
      <c r="H482" s="67">
        <v>29700</v>
      </c>
    </row>
    <row r="483" spans="1:8" ht="14.25" customHeight="1" x14ac:dyDescent="0.3">
      <c r="A483" s="65" t="s">
        <v>1344</v>
      </c>
      <c r="B483" s="65" t="s">
        <v>1345</v>
      </c>
      <c r="C483" s="65" t="s">
        <v>582</v>
      </c>
      <c r="D483" s="66">
        <v>42223</v>
      </c>
      <c r="E483" s="65" t="s">
        <v>1727</v>
      </c>
      <c r="F483" s="65" t="s">
        <v>246</v>
      </c>
      <c r="G483" s="65" t="s">
        <v>257</v>
      </c>
      <c r="H483" s="67">
        <v>29400</v>
      </c>
    </row>
    <row r="484" spans="1:8" ht="14.25" customHeight="1" x14ac:dyDescent="0.3">
      <c r="A484" s="65" t="s">
        <v>1346</v>
      </c>
      <c r="B484" s="65" t="s">
        <v>1347</v>
      </c>
      <c r="C484" s="65" t="s">
        <v>1291</v>
      </c>
      <c r="D484" s="66">
        <v>42236</v>
      </c>
      <c r="E484" s="65" t="s">
        <v>1727</v>
      </c>
      <c r="F484" s="65" t="s">
        <v>246</v>
      </c>
      <c r="G484" s="65" t="s">
        <v>339</v>
      </c>
      <c r="H484" s="67">
        <v>29100</v>
      </c>
    </row>
    <row r="485" spans="1:8" ht="14.25" customHeight="1" x14ac:dyDescent="0.3">
      <c r="A485" s="65" t="s">
        <v>1348</v>
      </c>
      <c r="B485" s="65" t="s">
        <v>1349</v>
      </c>
      <c r="C485" s="65" t="s">
        <v>1350</v>
      </c>
      <c r="D485" s="66">
        <v>42249</v>
      </c>
      <c r="E485" s="65" t="s">
        <v>1735</v>
      </c>
      <c r="F485" s="65" t="s">
        <v>246</v>
      </c>
      <c r="G485" s="65" t="s">
        <v>313</v>
      </c>
      <c r="H485" s="67">
        <v>28800</v>
      </c>
    </row>
    <row r="486" spans="1:8" ht="14.25" customHeight="1" x14ac:dyDescent="0.3">
      <c r="A486" s="65" t="s">
        <v>1351</v>
      </c>
      <c r="B486" s="65" t="s">
        <v>1352</v>
      </c>
      <c r="C486" s="65" t="s">
        <v>288</v>
      </c>
      <c r="D486" s="66">
        <v>42262</v>
      </c>
      <c r="E486" s="65" t="s">
        <v>1727</v>
      </c>
      <c r="F486" s="65" t="s">
        <v>246</v>
      </c>
      <c r="G486" s="65" t="s">
        <v>257</v>
      </c>
      <c r="H486" s="67">
        <v>28500</v>
      </c>
    </row>
    <row r="487" spans="1:8" ht="14.25" customHeight="1" x14ac:dyDescent="0.3">
      <c r="A487" s="65" t="s">
        <v>1353</v>
      </c>
      <c r="B487" s="65" t="s">
        <v>1354</v>
      </c>
      <c r="C487" s="65" t="s">
        <v>611</v>
      </c>
      <c r="D487" s="66">
        <v>42275</v>
      </c>
      <c r="E487" s="65" t="s">
        <v>1727</v>
      </c>
      <c r="F487" s="65" t="s">
        <v>246</v>
      </c>
      <c r="G487" s="65" t="s">
        <v>257</v>
      </c>
      <c r="H487" s="67">
        <v>28200</v>
      </c>
    </row>
    <row r="488" spans="1:8" ht="14.25" customHeight="1" x14ac:dyDescent="0.3">
      <c r="A488" s="65" t="s">
        <v>1355</v>
      </c>
      <c r="B488" s="65" t="s">
        <v>1356</v>
      </c>
      <c r="C488" s="65" t="s">
        <v>288</v>
      </c>
      <c r="D488" s="66">
        <v>42288</v>
      </c>
      <c r="E488" s="65" t="s">
        <v>1727</v>
      </c>
      <c r="F488" s="65" t="s">
        <v>246</v>
      </c>
      <c r="G488" s="65" t="s">
        <v>257</v>
      </c>
      <c r="H488" s="67">
        <v>27900</v>
      </c>
    </row>
    <row r="489" spans="1:8" ht="14.25" customHeight="1" x14ac:dyDescent="0.3">
      <c r="A489" s="65" t="s">
        <v>1357</v>
      </c>
      <c r="B489" s="65" t="s">
        <v>1358</v>
      </c>
      <c r="C489" s="65" t="s">
        <v>1359</v>
      </c>
      <c r="D489" s="66">
        <v>42301</v>
      </c>
      <c r="E489" s="65" t="s">
        <v>1727</v>
      </c>
      <c r="F489" s="65" t="s">
        <v>246</v>
      </c>
      <c r="G489" s="65" t="s">
        <v>257</v>
      </c>
      <c r="H489" s="67">
        <v>27600</v>
      </c>
    </row>
    <row r="490" spans="1:8" ht="14.25" customHeight="1" x14ac:dyDescent="0.3">
      <c r="A490" s="65" t="s">
        <v>1360</v>
      </c>
      <c r="B490" s="65" t="s">
        <v>1361</v>
      </c>
      <c r="C490" s="65" t="s">
        <v>427</v>
      </c>
      <c r="D490" s="66">
        <v>42314</v>
      </c>
      <c r="E490" s="65" t="s">
        <v>320</v>
      </c>
      <c r="F490" s="65" t="s">
        <v>320</v>
      </c>
      <c r="G490" s="65" t="s">
        <v>257</v>
      </c>
      <c r="H490" s="67">
        <v>27300</v>
      </c>
    </row>
    <row r="491" spans="1:8" ht="14.25" customHeight="1" x14ac:dyDescent="0.3">
      <c r="A491" s="65" t="s">
        <v>1362</v>
      </c>
      <c r="B491" s="65" t="s">
        <v>1363</v>
      </c>
      <c r="C491" s="65" t="s">
        <v>582</v>
      </c>
      <c r="D491" s="66">
        <v>42327</v>
      </c>
      <c r="E491" s="65" t="s">
        <v>1727</v>
      </c>
      <c r="F491" s="65" t="s">
        <v>246</v>
      </c>
      <c r="G491" s="65" t="s">
        <v>257</v>
      </c>
      <c r="H491" s="67">
        <v>27000</v>
      </c>
    </row>
    <row r="492" spans="1:8" ht="14.25" customHeight="1" x14ac:dyDescent="0.3">
      <c r="A492" s="65" t="s">
        <v>1364</v>
      </c>
      <c r="B492" s="65" t="s">
        <v>1365</v>
      </c>
      <c r="C492" s="65" t="s">
        <v>989</v>
      </c>
      <c r="D492" s="66">
        <v>42340</v>
      </c>
      <c r="E492" s="65" t="s">
        <v>320</v>
      </c>
      <c r="F492" s="65" t="s">
        <v>320</v>
      </c>
      <c r="G492" s="65" t="s">
        <v>257</v>
      </c>
      <c r="H492" s="67">
        <v>26700</v>
      </c>
    </row>
    <row r="493" spans="1:8" ht="14.25" customHeight="1" x14ac:dyDescent="0.3">
      <c r="A493" s="65" t="s">
        <v>1366</v>
      </c>
      <c r="B493" s="65" t="s">
        <v>1367</v>
      </c>
      <c r="C493" s="65" t="s">
        <v>351</v>
      </c>
      <c r="D493" s="66">
        <v>42353</v>
      </c>
      <c r="E493" s="65" t="s">
        <v>1727</v>
      </c>
      <c r="F493" s="65" t="s">
        <v>246</v>
      </c>
      <c r="G493" s="65" t="s">
        <v>332</v>
      </c>
      <c r="H493" s="67">
        <v>26400</v>
      </c>
    </row>
    <row r="494" spans="1:8" ht="14.25" customHeight="1" x14ac:dyDescent="0.3">
      <c r="A494" s="65" t="s">
        <v>1368</v>
      </c>
      <c r="B494" s="65" t="s">
        <v>1369</v>
      </c>
      <c r="C494" s="65" t="s">
        <v>678</v>
      </c>
      <c r="D494" s="66">
        <v>42366</v>
      </c>
      <c r="E494" s="65" t="s">
        <v>234</v>
      </c>
      <c r="F494" s="65" t="s">
        <v>236</v>
      </c>
      <c r="G494" s="65" t="s">
        <v>257</v>
      </c>
      <c r="H494" s="67">
        <v>26100</v>
      </c>
    </row>
    <row r="495" spans="1:8" ht="14.25" customHeight="1" x14ac:dyDescent="0.3">
      <c r="A495" s="65" t="s">
        <v>1370</v>
      </c>
      <c r="B495" s="65" t="s">
        <v>1371</v>
      </c>
      <c r="C495" s="65" t="s">
        <v>733</v>
      </c>
      <c r="D495" s="66">
        <v>42379</v>
      </c>
      <c r="E495" s="65" t="s">
        <v>320</v>
      </c>
      <c r="F495" s="65" t="s">
        <v>320</v>
      </c>
      <c r="G495" s="65" t="s">
        <v>367</v>
      </c>
      <c r="H495" s="67">
        <v>25800</v>
      </c>
    </row>
    <row r="496" spans="1:8" ht="14.25" customHeight="1" x14ac:dyDescent="0.3">
      <c r="A496" s="65" t="s">
        <v>1372</v>
      </c>
      <c r="B496" s="65" t="s">
        <v>1373</v>
      </c>
      <c r="C496" s="65" t="s">
        <v>357</v>
      </c>
      <c r="D496" s="66">
        <v>42392</v>
      </c>
      <c r="E496" s="65" t="s">
        <v>320</v>
      </c>
      <c r="F496" s="65" t="s">
        <v>320</v>
      </c>
      <c r="G496" s="65" t="s">
        <v>257</v>
      </c>
      <c r="H496" s="67">
        <v>25500</v>
      </c>
    </row>
    <row r="497" spans="1:8" ht="14.25" customHeight="1" x14ac:dyDescent="0.3">
      <c r="A497" s="65" t="s">
        <v>1374</v>
      </c>
      <c r="B497" s="65" t="s">
        <v>1375</v>
      </c>
      <c r="C497" s="65" t="s">
        <v>514</v>
      </c>
      <c r="D497" s="66">
        <v>42405</v>
      </c>
      <c r="E497" s="65" t="s">
        <v>320</v>
      </c>
      <c r="F497" s="65" t="s">
        <v>320</v>
      </c>
      <c r="G497" s="65" t="s">
        <v>257</v>
      </c>
      <c r="H497" s="67">
        <v>25200</v>
      </c>
    </row>
    <row r="498" spans="1:8" ht="14.25" customHeight="1" x14ac:dyDescent="0.3">
      <c r="A498" s="65" t="s">
        <v>1376</v>
      </c>
      <c r="B498" s="65" t="s">
        <v>1377</v>
      </c>
      <c r="C498" s="65" t="s">
        <v>1247</v>
      </c>
      <c r="D498" s="66">
        <v>42418</v>
      </c>
      <c r="E498" s="65" t="s">
        <v>234</v>
      </c>
      <c r="F498" s="65" t="s">
        <v>236</v>
      </c>
      <c r="G498" s="65" t="s">
        <v>343</v>
      </c>
      <c r="H498" s="67">
        <v>24900</v>
      </c>
    </row>
    <row r="499" spans="1:8" ht="14.25" customHeight="1" x14ac:dyDescent="0.3">
      <c r="A499" s="65" t="s">
        <v>1378</v>
      </c>
      <c r="B499" s="65" t="s">
        <v>1379</v>
      </c>
      <c r="C499" s="65" t="s">
        <v>582</v>
      </c>
      <c r="D499" s="66">
        <v>42431</v>
      </c>
      <c r="E499" s="65" t="s">
        <v>1727</v>
      </c>
      <c r="F499" s="65" t="s">
        <v>246</v>
      </c>
      <c r="G499" s="65" t="s">
        <v>257</v>
      </c>
      <c r="H499" s="67">
        <v>24600</v>
      </c>
    </row>
    <row r="500" spans="1:8" ht="14.25" customHeight="1" x14ac:dyDescent="0.3">
      <c r="A500" s="65" t="s">
        <v>1380</v>
      </c>
      <c r="B500" s="65" t="s">
        <v>1381</v>
      </c>
      <c r="C500" s="65" t="s">
        <v>466</v>
      </c>
      <c r="D500" s="66">
        <v>42444</v>
      </c>
      <c r="E500" s="65" t="s">
        <v>1735</v>
      </c>
      <c r="F500" s="65" t="s">
        <v>246</v>
      </c>
      <c r="G500" s="65" t="s">
        <v>300</v>
      </c>
      <c r="H500" s="67">
        <v>24300</v>
      </c>
    </row>
    <row r="501" spans="1:8" ht="14.25" customHeight="1" x14ac:dyDescent="0.3">
      <c r="A501" s="65" t="s">
        <v>1382</v>
      </c>
      <c r="B501" s="65" t="s">
        <v>1383</v>
      </c>
      <c r="C501" s="65" t="s">
        <v>801</v>
      </c>
      <c r="D501" s="66">
        <v>42457</v>
      </c>
      <c r="E501" s="65" t="s">
        <v>1735</v>
      </c>
      <c r="F501" s="65" t="s">
        <v>246</v>
      </c>
      <c r="G501" s="65" t="s">
        <v>296</v>
      </c>
      <c r="H501" s="67">
        <v>24000</v>
      </c>
    </row>
    <row r="502" spans="1:8" ht="14.25" customHeight="1" x14ac:dyDescent="0.3">
      <c r="A502" s="65" t="s">
        <v>1384</v>
      </c>
      <c r="B502" s="65" t="s">
        <v>1385</v>
      </c>
      <c r="C502" s="65" t="s">
        <v>1386</v>
      </c>
      <c r="D502" s="66">
        <v>42470</v>
      </c>
      <c r="E502" s="65" t="s">
        <v>1735</v>
      </c>
      <c r="F502" s="65" t="s">
        <v>246</v>
      </c>
      <c r="G502" s="65" t="s">
        <v>533</v>
      </c>
      <c r="H502" s="67">
        <v>23700</v>
      </c>
    </row>
    <row r="503" spans="1:8" ht="14.25" customHeight="1" x14ac:dyDescent="0.3">
      <c r="A503" s="65" t="s">
        <v>1387</v>
      </c>
      <c r="B503" s="65" t="s">
        <v>1388</v>
      </c>
      <c r="C503" s="65" t="s">
        <v>697</v>
      </c>
      <c r="D503" s="66">
        <v>42483</v>
      </c>
      <c r="E503" s="65" t="s">
        <v>1735</v>
      </c>
      <c r="F503" s="65" t="s">
        <v>246</v>
      </c>
      <c r="G503" s="65" t="s">
        <v>313</v>
      </c>
      <c r="H503" s="67">
        <v>23400</v>
      </c>
    </row>
    <row r="504" spans="1:8" ht="14.25" customHeight="1" x14ac:dyDescent="0.3">
      <c r="A504" s="65" t="s">
        <v>1389</v>
      </c>
      <c r="B504" s="65" t="s">
        <v>1390</v>
      </c>
      <c r="C504" s="65" t="s">
        <v>409</v>
      </c>
      <c r="D504" s="66">
        <v>42496</v>
      </c>
      <c r="E504" s="65" t="s">
        <v>1735</v>
      </c>
      <c r="F504" s="65" t="s">
        <v>246</v>
      </c>
      <c r="G504" s="65" t="s">
        <v>252</v>
      </c>
      <c r="H504" s="67">
        <v>23100</v>
      </c>
    </row>
    <row r="505" spans="1:8" ht="14.25" customHeight="1" x14ac:dyDescent="0.3">
      <c r="A505" s="65" t="s">
        <v>1391</v>
      </c>
      <c r="B505" s="65" t="s">
        <v>1392</v>
      </c>
      <c r="C505" s="65" t="s">
        <v>715</v>
      </c>
      <c r="D505" s="66">
        <v>42509</v>
      </c>
      <c r="E505" s="65" t="s">
        <v>1727</v>
      </c>
      <c r="F505" s="65" t="s">
        <v>246</v>
      </c>
      <c r="G505" s="65" t="s">
        <v>300</v>
      </c>
      <c r="H505" s="67">
        <v>22800</v>
      </c>
    </row>
    <row r="506" spans="1:8" ht="14.25" customHeight="1" x14ac:dyDescent="0.3">
      <c r="A506" s="65" t="s">
        <v>1393</v>
      </c>
      <c r="B506" s="65" t="s">
        <v>1394</v>
      </c>
      <c r="C506" s="65" t="s">
        <v>466</v>
      </c>
      <c r="D506" s="66">
        <v>42522</v>
      </c>
      <c r="E506" s="65" t="s">
        <v>1735</v>
      </c>
      <c r="F506" s="65" t="s">
        <v>246</v>
      </c>
      <c r="G506" s="65" t="s">
        <v>300</v>
      </c>
      <c r="H506" s="67">
        <v>22500</v>
      </c>
    </row>
    <row r="507" spans="1:8" ht="14.25" customHeight="1" x14ac:dyDescent="0.3">
      <c r="A507" s="65" t="s">
        <v>1395</v>
      </c>
      <c r="B507" s="65" t="s">
        <v>1396</v>
      </c>
      <c r="C507" s="65" t="s">
        <v>299</v>
      </c>
      <c r="D507" s="66">
        <v>42535</v>
      </c>
      <c r="E507" s="65" t="s">
        <v>1735</v>
      </c>
      <c r="F507" s="65" t="s">
        <v>246</v>
      </c>
      <c r="G507" s="65" t="s">
        <v>300</v>
      </c>
      <c r="H507" s="67">
        <v>22200</v>
      </c>
    </row>
    <row r="508" spans="1:8" ht="14.25" customHeight="1" x14ac:dyDescent="0.3">
      <c r="A508" s="65" t="s">
        <v>1397</v>
      </c>
      <c r="B508" s="65" t="s">
        <v>1398</v>
      </c>
      <c r="C508" s="65" t="s">
        <v>448</v>
      </c>
      <c r="D508" s="66">
        <v>42548</v>
      </c>
      <c r="E508" s="65" t="s">
        <v>1725</v>
      </c>
      <c r="F508" s="65" t="s">
        <v>270</v>
      </c>
      <c r="G508" s="65" t="s">
        <v>252</v>
      </c>
      <c r="H508" s="67">
        <v>21900</v>
      </c>
    </row>
    <row r="509" spans="1:8" ht="14.25" customHeight="1" x14ac:dyDescent="0.3">
      <c r="A509" s="65" t="s">
        <v>1399</v>
      </c>
      <c r="B509" s="65" t="s">
        <v>1400</v>
      </c>
      <c r="C509" s="65" t="s">
        <v>466</v>
      </c>
      <c r="D509" s="66">
        <v>42561</v>
      </c>
      <c r="E509" s="65" t="s">
        <v>1729</v>
      </c>
      <c r="F509" s="65" t="s">
        <v>377</v>
      </c>
      <c r="G509" s="65" t="s">
        <v>300</v>
      </c>
      <c r="H509" s="67">
        <v>21980</v>
      </c>
    </row>
    <row r="510" spans="1:8" ht="14.25" customHeight="1" x14ac:dyDescent="0.3">
      <c r="A510" s="65" t="s">
        <v>1401</v>
      </c>
      <c r="B510" s="65" t="s">
        <v>1402</v>
      </c>
      <c r="C510" s="65" t="s">
        <v>1205</v>
      </c>
      <c r="D510" s="66">
        <v>42574</v>
      </c>
      <c r="E510" s="65" t="s">
        <v>1735</v>
      </c>
      <c r="F510" s="65" t="s">
        <v>246</v>
      </c>
      <c r="G510" s="65" t="s">
        <v>257</v>
      </c>
      <c r="H510" s="67">
        <v>22060</v>
      </c>
    </row>
    <row r="511" spans="1:8" ht="14.25" customHeight="1" x14ac:dyDescent="0.3">
      <c r="A511" s="65" t="s">
        <v>1403</v>
      </c>
      <c r="B511" s="65" t="s">
        <v>1404</v>
      </c>
      <c r="C511" s="65" t="s">
        <v>517</v>
      </c>
      <c r="D511" s="66">
        <v>42587</v>
      </c>
      <c r="E511" s="65" t="s">
        <v>1735</v>
      </c>
      <c r="F511" s="65" t="s">
        <v>246</v>
      </c>
      <c r="G511" s="65" t="s">
        <v>332</v>
      </c>
      <c r="H511" s="67">
        <v>22140</v>
      </c>
    </row>
    <row r="512" spans="1:8" ht="14.25" customHeight="1" x14ac:dyDescent="0.3">
      <c r="A512" s="65" t="s">
        <v>1405</v>
      </c>
      <c r="B512" s="65" t="s">
        <v>1406</v>
      </c>
      <c r="C512" s="65" t="s">
        <v>656</v>
      </c>
      <c r="D512" s="66">
        <v>42600</v>
      </c>
      <c r="E512" s="65" t="s">
        <v>1735</v>
      </c>
      <c r="F512" s="65" t="s">
        <v>246</v>
      </c>
      <c r="G512" s="65" t="s">
        <v>285</v>
      </c>
      <c r="H512" s="67">
        <v>22220</v>
      </c>
    </row>
    <row r="513" spans="1:8" ht="14.25" customHeight="1" x14ac:dyDescent="0.3">
      <c r="A513" s="65" t="s">
        <v>1407</v>
      </c>
      <c r="B513" s="65" t="s">
        <v>1408</v>
      </c>
      <c r="C513" s="65" t="s">
        <v>265</v>
      </c>
      <c r="D513" s="66">
        <v>42613</v>
      </c>
      <c r="E513" s="65" t="s">
        <v>1730</v>
      </c>
      <c r="F513" s="65" t="s">
        <v>237</v>
      </c>
      <c r="G513" s="65" t="s">
        <v>257</v>
      </c>
      <c r="H513" s="67">
        <v>22300</v>
      </c>
    </row>
    <row r="514" spans="1:8" ht="14.25" customHeight="1" x14ac:dyDescent="0.3">
      <c r="A514" s="65" t="s">
        <v>1409</v>
      </c>
      <c r="B514" s="65" t="s">
        <v>1410</v>
      </c>
      <c r="C514" s="65" t="s">
        <v>357</v>
      </c>
      <c r="D514" s="66">
        <v>42626</v>
      </c>
      <c r="E514" s="65" t="s">
        <v>1727</v>
      </c>
      <c r="F514" s="65" t="s">
        <v>246</v>
      </c>
      <c r="G514" s="65" t="s">
        <v>257</v>
      </c>
      <c r="H514" s="67">
        <v>22380</v>
      </c>
    </row>
    <row r="515" spans="1:8" ht="14.25" customHeight="1" x14ac:dyDescent="0.3">
      <c r="A515" s="65" t="s">
        <v>1411</v>
      </c>
      <c r="B515" s="65" t="s">
        <v>1412</v>
      </c>
      <c r="C515" s="65" t="s">
        <v>357</v>
      </c>
      <c r="D515" s="66">
        <v>42639</v>
      </c>
      <c r="E515" s="65" t="s">
        <v>1735</v>
      </c>
      <c r="F515" s="65" t="s">
        <v>246</v>
      </c>
      <c r="G515" s="65" t="s">
        <v>257</v>
      </c>
      <c r="H515" s="67">
        <v>22460</v>
      </c>
    </row>
    <row r="516" spans="1:8" ht="14.25" customHeight="1" x14ac:dyDescent="0.3">
      <c r="A516" s="65" t="s">
        <v>1413</v>
      </c>
      <c r="B516" s="65" t="s">
        <v>1414</v>
      </c>
      <c r="C516" s="65" t="s">
        <v>697</v>
      </c>
      <c r="D516" s="66">
        <v>42652</v>
      </c>
      <c r="E516" s="65" t="s">
        <v>1735</v>
      </c>
      <c r="F516" s="65" t="s">
        <v>246</v>
      </c>
      <c r="G516" s="65" t="s">
        <v>313</v>
      </c>
      <c r="H516" s="67">
        <v>22540</v>
      </c>
    </row>
    <row r="517" spans="1:8" ht="14.25" customHeight="1" x14ac:dyDescent="0.3">
      <c r="A517" s="65" t="s">
        <v>1415</v>
      </c>
      <c r="B517" s="65" t="s">
        <v>1416</v>
      </c>
      <c r="C517" s="65" t="s">
        <v>872</v>
      </c>
      <c r="D517" s="66">
        <v>42665</v>
      </c>
      <c r="E517" s="65" t="s">
        <v>1735</v>
      </c>
      <c r="F517" s="65" t="s">
        <v>246</v>
      </c>
      <c r="G517" s="65" t="s">
        <v>252</v>
      </c>
      <c r="H517" s="67">
        <v>22620</v>
      </c>
    </row>
    <row r="518" spans="1:8" ht="14.25" customHeight="1" x14ac:dyDescent="0.3">
      <c r="A518" s="65" t="s">
        <v>1417</v>
      </c>
      <c r="B518" s="65" t="s">
        <v>1418</v>
      </c>
      <c r="C518" s="65" t="s">
        <v>1419</v>
      </c>
      <c r="D518" s="66">
        <v>42678</v>
      </c>
      <c r="E518" s="65" t="s">
        <v>1725</v>
      </c>
      <c r="F518" s="65" t="s">
        <v>270</v>
      </c>
      <c r="G518" s="65" t="s">
        <v>271</v>
      </c>
      <c r="H518" s="67">
        <v>22700</v>
      </c>
    </row>
    <row r="519" spans="1:8" ht="14.25" customHeight="1" x14ac:dyDescent="0.3">
      <c r="A519" s="65" t="s">
        <v>1420</v>
      </c>
      <c r="B519" s="65" t="s">
        <v>1421</v>
      </c>
      <c r="C519" s="65" t="s">
        <v>1422</v>
      </c>
      <c r="D519" s="66">
        <v>42691</v>
      </c>
      <c r="E519" s="65" t="s">
        <v>1735</v>
      </c>
      <c r="F519" s="65" t="s">
        <v>246</v>
      </c>
      <c r="G519" s="65" t="s">
        <v>367</v>
      </c>
      <c r="H519" s="67">
        <v>22780</v>
      </c>
    </row>
    <row r="520" spans="1:8" ht="14.25" customHeight="1" x14ac:dyDescent="0.3">
      <c r="A520" s="65" t="s">
        <v>1423</v>
      </c>
      <c r="B520" s="65" t="s">
        <v>1424</v>
      </c>
      <c r="C520" s="65" t="s">
        <v>288</v>
      </c>
      <c r="D520" s="66">
        <v>42704</v>
      </c>
      <c r="E520" s="65" t="s">
        <v>234</v>
      </c>
      <c r="F520" s="65" t="s">
        <v>236</v>
      </c>
      <c r="G520" s="65" t="s">
        <v>257</v>
      </c>
      <c r="H520" s="67">
        <v>22860</v>
      </c>
    </row>
    <row r="521" spans="1:8" ht="14.25" customHeight="1" x14ac:dyDescent="0.3">
      <c r="A521" s="65" t="s">
        <v>1425</v>
      </c>
      <c r="B521" s="65" t="s">
        <v>1426</v>
      </c>
      <c r="C521" s="65" t="s">
        <v>611</v>
      </c>
      <c r="D521" s="66">
        <v>42717</v>
      </c>
      <c r="E521" s="65" t="s">
        <v>234</v>
      </c>
      <c r="F521" s="65" t="s">
        <v>236</v>
      </c>
      <c r="G521" s="65" t="s">
        <v>257</v>
      </c>
      <c r="H521" s="67">
        <v>22940</v>
      </c>
    </row>
    <row r="522" spans="1:8" ht="14.25" customHeight="1" x14ac:dyDescent="0.3">
      <c r="A522" s="65" t="s">
        <v>1427</v>
      </c>
      <c r="B522" s="65" t="s">
        <v>1428</v>
      </c>
      <c r="C522" s="65" t="s">
        <v>357</v>
      </c>
      <c r="D522" s="66">
        <v>42730</v>
      </c>
      <c r="E522" s="65" t="s">
        <v>1735</v>
      </c>
      <c r="F522" s="65" t="s">
        <v>246</v>
      </c>
      <c r="G522" s="65" t="s">
        <v>257</v>
      </c>
      <c r="H522" s="67">
        <v>23020</v>
      </c>
    </row>
    <row r="523" spans="1:8" ht="14.25" customHeight="1" x14ac:dyDescent="0.3">
      <c r="A523" s="65" t="s">
        <v>1429</v>
      </c>
      <c r="B523" s="65" t="s">
        <v>1430</v>
      </c>
      <c r="C523" s="65" t="s">
        <v>357</v>
      </c>
      <c r="D523" s="66">
        <v>42743</v>
      </c>
      <c r="E523" s="65" t="s">
        <v>1727</v>
      </c>
      <c r="F523" s="65" t="s">
        <v>246</v>
      </c>
      <c r="G523" s="65" t="s">
        <v>257</v>
      </c>
      <c r="H523" s="67">
        <v>23100</v>
      </c>
    </row>
    <row r="524" spans="1:8" ht="14.25" customHeight="1" x14ac:dyDescent="0.3">
      <c r="A524" s="65" t="s">
        <v>1431</v>
      </c>
      <c r="B524" s="65" t="s">
        <v>1432</v>
      </c>
      <c r="C524" s="65" t="s">
        <v>1300</v>
      </c>
      <c r="D524" s="66">
        <v>42756</v>
      </c>
      <c r="E524" s="65" t="s">
        <v>1727</v>
      </c>
      <c r="F524" s="65" t="s">
        <v>246</v>
      </c>
      <c r="G524" s="65" t="s">
        <v>300</v>
      </c>
      <c r="H524" s="67">
        <v>23180</v>
      </c>
    </row>
    <row r="525" spans="1:8" ht="14.25" customHeight="1" x14ac:dyDescent="0.3">
      <c r="A525" s="65" t="s">
        <v>1433</v>
      </c>
      <c r="B525" s="65" t="s">
        <v>1434</v>
      </c>
      <c r="C525" s="65" t="s">
        <v>383</v>
      </c>
      <c r="D525" s="66">
        <v>42769</v>
      </c>
      <c r="E525" s="65" t="s">
        <v>1735</v>
      </c>
      <c r="F525" s="65" t="s">
        <v>246</v>
      </c>
      <c r="G525" s="65" t="s">
        <v>252</v>
      </c>
      <c r="H525" s="67">
        <v>23260</v>
      </c>
    </row>
    <row r="526" spans="1:8" ht="14.25" customHeight="1" x14ac:dyDescent="0.3">
      <c r="A526" s="65" t="s">
        <v>1435</v>
      </c>
      <c r="B526" s="65" t="s">
        <v>1436</v>
      </c>
      <c r="C526" s="65" t="s">
        <v>1437</v>
      </c>
      <c r="D526" s="66">
        <v>42782</v>
      </c>
      <c r="E526" s="65" t="s">
        <v>1725</v>
      </c>
      <c r="F526" s="65" t="s">
        <v>270</v>
      </c>
      <c r="G526" s="65" t="s">
        <v>271</v>
      </c>
      <c r="H526" s="67">
        <v>23340</v>
      </c>
    </row>
    <row r="527" spans="1:8" ht="14.25" customHeight="1" x14ac:dyDescent="0.3">
      <c r="A527" s="65" t="s">
        <v>1438</v>
      </c>
      <c r="B527" s="65" t="s">
        <v>1439</v>
      </c>
      <c r="C527" s="65" t="s">
        <v>509</v>
      </c>
      <c r="D527" s="66">
        <v>42795</v>
      </c>
      <c r="E527" s="65" t="s">
        <v>1725</v>
      </c>
      <c r="F527" s="65" t="s">
        <v>270</v>
      </c>
      <c r="G527" s="65" t="s">
        <v>300</v>
      </c>
      <c r="H527" s="67">
        <v>23420</v>
      </c>
    </row>
    <row r="528" spans="1:8" ht="14.25" customHeight="1" x14ac:dyDescent="0.3">
      <c r="A528" s="65" t="s">
        <v>1440</v>
      </c>
      <c r="B528" s="65" t="s">
        <v>1441</v>
      </c>
      <c r="C528" s="65" t="s">
        <v>640</v>
      </c>
      <c r="D528" s="66">
        <v>42808</v>
      </c>
      <c r="E528" s="65" t="s">
        <v>1735</v>
      </c>
      <c r="F528" s="65" t="s">
        <v>246</v>
      </c>
      <c r="G528" s="65" t="s">
        <v>367</v>
      </c>
      <c r="H528" s="67">
        <v>23500</v>
      </c>
    </row>
    <row r="529" spans="1:8" ht="14.25" customHeight="1" x14ac:dyDescent="0.3">
      <c r="A529" s="65" t="s">
        <v>1442</v>
      </c>
      <c r="B529" s="65" t="s">
        <v>1443</v>
      </c>
      <c r="C529" s="65" t="s">
        <v>288</v>
      </c>
      <c r="D529" s="66">
        <v>42821</v>
      </c>
      <c r="E529" s="65" t="s">
        <v>234</v>
      </c>
      <c r="F529" s="65" t="s">
        <v>236</v>
      </c>
      <c r="G529" s="65" t="s">
        <v>257</v>
      </c>
      <c r="H529" s="67">
        <v>23580</v>
      </c>
    </row>
    <row r="530" spans="1:8" ht="14.25" customHeight="1" x14ac:dyDescent="0.3">
      <c r="A530" s="65" t="s">
        <v>1444</v>
      </c>
      <c r="B530" s="65" t="s">
        <v>1445</v>
      </c>
      <c r="C530" s="65" t="s">
        <v>640</v>
      </c>
      <c r="D530" s="66">
        <v>42834</v>
      </c>
      <c r="E530" s="65" t="s">
        <v>234</v>
      </c>
      <c r="F530" s="65" t="s">
        <v>236</v>
      </c>
      <c r="G530" s="65" t="s">
        <v>367</v>
      </c>
      <c r="H530" s="67">
        <v>23660</v>
      </c>
    </row>
    <row r="531" spans="1:8" ht="14.25" customHeight="1" x14ac:dyDescent="0.3">
      <c r="A531" s="65" t="s">
        <v>1446</v>
      </c>
      <c r="B531" s="65" t="s">
        <v>1447</v>
      </c>
      <c r="C531" s="65" t="s">
        <v>718</v>
      </c>
      <c r="D531" s="66">
        <v>42847</v>
      </c>
      <c r="E531" s="65" t="s">
        <v>237</v>
      </c>
      <c r="F531" s="65" t="s">
        <v>237</v>
      </c>
      <c r="G531" s="65" t="s">
        <v>292</v>
      </c>
      <c r="H531" s="67">
        <v>23740</v>
      </c>
    </row>
    <row r="532" spans="1:8" ht="14.25" customHeight="1" x14ac:dyDescent="0.3">
      <c r="A532" s="65" t="s">
        <v>1448</v>
      </c>
      <c r="B532" s="65" t="s">
        <v>1449</v>
      </c>
      <c r="C532" s="65" t="s">
        <v>1332</v>
      </c>
      <c r="D532" s="66">
        <v>42860</v>
      </c>
      <c r="E532" s="65" t="s">
        <v>1726</v>
      </c>
      <c r="F532" s="65" t="s">
        <v>284</v>
      </c>
      <c r="G532" s="65" t="s">
        <v>533</v>
      </c>
      <c r="H532" s="67">
        <v>23820</v>
      </c>
    </row>
    <row r="533" spans="1:8" ht="14.25" customHeight="1" x14ac:dyDescent="0.3">
      <c r="A533" s="65" t="s">
        <v>1450</v>
      </c>
      <c r="B533" s="65" t="s">
        <v>1451</v>
      </c>
      <c r="C533" s="65" t="s">
        <v>623</v>
      </c>
      <c r="D533" s="66">
        <v>42873</v>
      </c>
      <c r="E533" s="65" t="s">
        <v>1726</v>
      </c>
      <c r="F533" s="65" t="s">
        <v>284</v>
      </c>
      <c r="G533" s="65" t="s">
        <v>367</v>
      </c>
      <c r="H533" s="67">
        <v>23900</v>
      </c>
    </row>
    <row r="534" spans="1:8" ht="14.25" customHeight="1" x14ac:dyDescent="0.3">
      <c r="A534" s="65" t="s">
        <v>1452</v>
      </c>
      <c r="B534" s="65" t="s">
        <v>1453</v>
      </c>
      <c r="C534" s="65" t="s">
        <v>611</v>
      </c>
      <c r="D534" s="66">
        <v>42886</v>
      </c>
      <c r="E534" s="65" t="s">
        <v>1726</v>
      </c>
      <c r="F534" s="65" t="s">
        <v>284</v>
      </c>
      <c r="G534" s="65" t="s">
        <v>257</v>
      </c>
      <c r="H534" s="67">
        <v>23980</v>
      </c>
    </row>
    <row r="535" spans="1:8" ht="14.25" customHeight="1" x14ac:dyDescent="0.3">
      <c r="A535" s="65" t="s">
        <v>1454</v>
      </c>
      <c r="B535" s="65" t="s">
        <v>1455</v>
      </c>
      <c r="C535" s="65" t="s">
        <v>295</v>
      </c>
      <c r="D535" s="66">
        <v>42899</v>
      </c>
      <c r="E535" s="65" t="s">
        <v>1726</v>
      </c>
      <c r="F535" s="65" t="s">
        <v>284</v>
      </c>
      <c r="G535" s="65" t="s">
        <v>296</v>
      </c>
      <c r="H535" s="67">
        <v>24060</v>
      </c>
    </row>
    <row r="536" spans="1:8" ht="14.25" customHeight="1" x14ac:dyDescent="0.3">
      <c r="A536" s="65" t="s">
        <v>1456</v>
      </c>
      <c r="B536" s="65" t="s">
        <v>1457</v>
      </c>
      <c r="C536" s="65" t="s">
        <v>626</v>
      </c>
      <c r="D536" s="66">
        <v>42912</v>
      </c>
      <c r="E536" s="65" t="s">
        <v>1725</v>
      </c>
      <c r="F536" s="65" t="s">
        <v>270</v>
      </c>
      <c r="G536" s="65" t="s">
        <v>296</v>
      </c>
      <c r="H536" s="67">
        <v>24140</v>
      </c>
    </row>
    <row r="537" spans="1:8" ht="14.25" customHeight="1" x14ac:dyDescent="0.3">
      <c r="A537" s="65" t="s">
        <v>1458</v>
      </c>
      <c r="B537" s="65" t="s">
        <v>1459</v>
      </c>
      <c r="C537" s="65" t="s">
        <v>1460</v>
      </c>
      <c r="D537" s="66">
        <v>42925</v>
      </c>
      <c r="E537" s="65" t="s">
        <v>1726</v>
      </c>
      <c r="F537" s="65" t="s">
        <v>284</v>
      </c>
      <c r="G537" s="65" t="s">
        <v>271</v>
      </c>
      <c r="H537" s="67">
        <v>24220</v>
      </c>
    </row>
    <row r="538" spans="1:8" ht="14.25" customHeight="1" x14ac:dyDescent="0.3">
      <c r="A538" s="65" t="s">
        <v>1461</v>
      </c>
      <c r="B538" s="65" t="s">
        <v>1462</v>
      </c>
      <c r="C538" s="65" t="s">
        <v>536</v>
      </c>
      <c r="D538" s="66">
        <v>42938</v>
      </c>
      <c r="E538" s="65" t="s">
        <v>1735</v>
      </c>
      <c r="F538" s="65" t="s">
        <v>246</v>
      </c>
      <c r="G538" s="65" t="s">
        <v>252</v>
      </c>
      <c r="H538" s="67">
        <v>24300</v>
      </c>
    </row>
    <row r="539" spans="1:8" ht="14.25" customHeight="1" x14ac:dyDescent="0.3">
      <c r="A539" s="65" t="s">
        <v>1463</v>
      </c>
      <c r="B539" s="65" t="s">
        <v>1464</v>
      </c>
      <c r="C539" s="65" t="s">
        <v>479</v>
      </c>
      <c r="D539" s="66">
        <v>42951</v>
      </c>
      <c r="E539" s="65" t="s">
        <v>1727</v>
      </c>
      <c r="F539" s="65" t="s">
        <v>246</v>
      </c>
      <c r="G539" s="65" t="s">
        <v>332</v>
      </c>
      <c r="H539" s="67">
        <v>24380</v>
      </c>
    </row>
    <row r="540" spans="1:8" ht="14.25" customHeight="1" x14ac:dyDescent="0.3">
      <c r="A540" s="65" t="s">
        <v>1465</v>
      </c>
      <c r="B540" s="65" t="s">
        <v>1466</v>
      </c>
      <c r="C540" s="65" t="s">
        <v>279</v>
      </c>
      <c r="D540" s="66">
        <v>42964</v>
      </c>
      <c r="E540" s="65" t="s">
        <v>1726</v>
      </c>
      <c r="F540" s="65" t="s">
        <v>284</v>
      </c>
      <c r="G540" s="65" t="s">
        <v>257</v>
      </c>
      <c r="H540" s="67">
        <v>24460</v>
      </c>
    </row>
    <row r="541" spans="1:8" ht="14.25" customHeight="1" x14ac:dyDescent="0.3">
      <c r="A541" s="65" t="s">
        <v>1467</v>
      </c>
      <c r="B541" s="65" t="s">
        <v>1468</v>
      </c>
      <c r="C541" s="65" t="s">
        <v>872</v>
      </c>
      <c r="D541" s="66">
        <v>42977</v>
      </c>
      <c r="E541" s="65" t="s">
        <v>1725</v>
      </c>
      <c r="F541" s="65" t="s">
        <v>270</v>
      </c>
      <c r="G541" s="65" t="s">
        <v>252</v>
      </c>
      <c r="H541" s="67">
        <v>24540</v>
      </c>
    </row>
    <row r="542" spans="1:8" ht="14.25" customHeight="1" x14ac:dyDescent="0.3">
      <c r="A542" s="65" t="s">
        <v>1469</v>
      </c>
      <c r="B542" s="65" t="s">
        <v>1470</v>
      </c>
      <c r="C542" s="65" t="s">
        <v>1471</v>
      </c>
      <c r="D542" s="66">
        <v>42990</v>
      </c>
      <c r="E542" s="65" t="s">
        <v>1727</v>
      </c>
      <c r="F542" s="65" t="s">
        <v>246</v>
      </c>
      <c r="G542" s="65" t="s">
        <v>332</v>
      </c>
      <c r="H542" s="67">
        <v>24620</v>
      </c>
    </row>
    <row r="543" spans="1:8" ht="14.25" customHeight="1" x14ac:dyDescent="0.3">
      <c r="A543" s="65" t="s">
        <v>1472</v>
      </c>
      <c r="B543" s="65" t="s">
        <v>1473</v>
      </c>
      <c r="C543" s="65" t="s">
        <v>718</v>
      </c>
      <c r="D543" s="66">
        <v>43003</v>
      </c>
      <c r="E543" s="65" t="s">
        <v>1725</v>
      </c>
      <c r="F543" s="65" t="s">
        <v>270</v>
      </c>
      <c r="G543" s="65" t="s">
        <v>292</v>
      </c>
      <c r="H543" s="67">
        <v>24700</v>
      </c>
    </row>
    <row r="544" spans="1:8" ht="14.25" customHeight="1" x14ac:dyDescent="0.3">
      <c r="A544" s="65" t="s">
        <v>1474</v>
      </c>
      <c r="B544" s="65" t="s">
        <v>1475</v>
      </c>
      <c r="C544" s="65" t="s">
        <v>514</v>
      </c>
      <c r="D544" s="66">
        <v>43016</v>
      </c>
      <c r="E544" s="65" t="s">
        <v>1726</v>
      </c>
      <c r="F544" s="65" t="s">
        <v>284</v>
      </c>
      <c r="G544" s="65" t="s">
        <v>257</v>
      </c>
      <c r="H544" s="67">
        <v>24780</v>
      </c>
    </row>
    <row r="545" spans="1:8" ht="14.25" customHeight="1" x14ac:dyDescent="0.3">
      <c r="A545" s="65" t="s">
        <v>1476</v>
      </c>
      <c r="B545" s="65" t="s">
        <v>1477</v>
      </c>
      <c r="C545" s="65" t="s">
        <v>1175</v>
      </c>
      <c r="D545" s="66">
        <v>43029</v>
      </c>
      <c r="E545" s="65" t="s">
        <v>1725</v>
      </c>
      <c r="F545" s="65" t="s">
        <v>270</v>
      </c>
      <c r="G545" s="65" t="s">
        <v>257</v>
      </c>
      <c r="H545" s="67">
        <v>24860</v>
      </c>
    </row>
    <row r="546" spans="1:8" ht="14.25" customHeight="1" x14ac:dyDescent="0.3">
      <c r="A546" s="65" t="s">
        <v>1478</v>
      </c>
      <c r="B546" s="65" t="s">
        <v>1479</v>
      </c>
      <c r="C546" s="65" t="s">
        <v>626</v>
      </c>
      <c r="D546" s="66">
        <v>43042</v>
      </c>
      <c r="E546" s="65" t="s">
        <v>1726</v>
      </c>
      <c r="F546" s="65" t="s">
        <v>284</v>
      </c>
      <c r="G546" s="65" t="s">
        <v>296</v>
      </c>
      <c r="H546" s="67">
        <v>24940</v>
      </c>
    </row>
    <row r="547" spans="1:8" ht="14.25" customHeight="1" x14ac:dyDescent="0.3">
      <c r="A547" s="65" t="s">
        <v>1480</v>
      </c>
      <c r="B547" s="65" t="s">
        <v>1481</v>
      </c>
      <c r="C547" s="65" t="s">
        <v>427</v>
      </c>
      <c r="D547" s="66">
        <v>43055</v>
      </c>
      <c r="E547" s="65" t="s">
        <v>1730</v>
      </c>
      <c r="F547" s="65" t="s">
        <v>237</v>
      </c>
      <c r="G547" s="65" t="s">
        <v>257</v>
      </c>
      <c r="H547" s="67">
        <v>25020</v>
      </c>
    </row>
    <row r="548" spans="1:8" ht="14.25" customHeight="1" x14ac:dyDescent="0.3">
      <c r="A548" s="65" t="s">
        <v>1482</v>
      </c>
      <c r="B548" s="65" t="s">
        <v>1483</v>
      </c>
      <c r="C548" s="65" t="s">
        <v>342</v>
      </c>
      <c r="D548" s="66">
        <v>43068</v>
      </c>
      <c r="E548" s="65" t="s">
        <v>1726</v>
      </c>
      <c r="F548" s="65" t="s">
        <v>284</v>
      </c>
      <c r="G548" s="65" t="s">
        <v>343</v>
      </c>
      <c r="H548" s="67">
        <v>25100</v>
      </c>
    </row>
    <row r="549" spans="1:8" ht="14.25" customHeight="1" x14ac:dyDescent="0.3">
      <c r="A549" s="65" t="s">
        <v>1484</v>
      </c>
      <c r="B549" s="65" t="s">
        <v>1485</v>
      </c>
      <c r="C549" s="65" t="s">
        <v>640</v>
      </c>
      <c r="D549" s="66">
        <v>43081</v>
      </c>
      <c r="E549" s="65" t="s">
        <v>1727</v>
      </c>
      <c r="F549" s="65" t="s">
        <v>246</v>
      </c>
      <c r="G549" s="65" t="s">
        <v>367</v>
      </c>
      <c r="H549" s="67">
        <v>25180</v>
      </c>
    </row>
    <row r="550" spans="1:8" ht="14.25" customHeight="1" x14ac:dyDescent="0.3">
      <c r="A550" s="65" t="s">
        <v>1486</v>
      </c>
      <c r="B550" s="65" t="s">
        <v>1487</v>
      </c>
      <c r="C550" s="65" t="s">
        <v>640</v>
      </c>
      <c r="D550" s="66">
        <v>43094</v>
      </c>
      <c r="E550" s="65" t="s">
        <v>1727</v>
      </c>
      <c r="F550" s="65" t="s">
        <v>246</v>
      </c>
      <c r="G550" s="65" t="s">
        <v>367</v>
      </c>
      <c r="H550" s="67">
        <v>25260</v>
      </c>
    </row>
    <row r="551" spans="1:8" ht="14.25" customHeight="1" x14ac:dyDescent="0.3">
      <c r="A551" s="65" t="s">
        <v>1488</v>
      </c>
      <c r="B551" s="65" t="s">
        <v>1489</v>
      </c>
      <c r="C551" s="65" t="s">
        <v>295</v>
      </c>
      <c r="D551" s="66">
        <v>43107</v>
      </c>
      <c r="E551" s="65" t="s">
        <v>320</v>
      </c>
      <c r="F551" s="65" t="s">
        <v>320</v>
      </c>
      <c r="G551" s="65" t="s">
        <v>296</v>
      </c>
      <c r="H551" s="67">
        <v>25340</v>
      </c>
    </row>
    <row r="552" spans="1:8" ht="14.25" customHeight="1" x14ac:dyDescent="0.3">
      <c r="A552" s="65" t="s">
        <v>1490</v>
      </c>
      <c r="B552" s="65" t="s">
        <v>1491</v>
      </c>
      <c r="C552" s="65" t="s">
        <v>884</v>
      </c>
      <c r="D552" s="66">
        <v>43120</v>
      </c>
      <c r="E552" s="65" t="s">
        <v>1725</v>
      </c>
      <c r="F552" s="65" t="s">
        <v>270</v>
      </c>
      <c r="G552" s="65" t="s">
        <v>343</v>
      </c>
      <c r="H552" s="67">
        <v>25420</v>
      </c>
    </row>
    <row r="553" spans="1:8" ht="14.25" customHeight="1" x14ac:dyDescent="0.3">
      <c r="A553" s="65" t="s">
        <v>1492</v>
      </c>
      <c r="B553" s="65" t="s">
        <v>1493</v>
      </c>
      <c r="C553" s="65" t="s">
        <v>335</v>
      </c>
      <c r="D553" s="66">
        <v>43133</v>
      </c>
      <c r="E553" s="65" t="s">
        <v>1730</v>
      </c>
      <c r="F553" s="65" t="s">
        <v>237</v>
      </c>
      <c r="G553" s="65" t="s">
        <v>252</v>
      </c>
      <c r="H553" s="67">
        <v>25500</v>
      </c>
    </row>
    <row r="554" spans="1:8" ht="14.25" customHeight="1" x14ac:dyDescent="0.3">
      <c r="A554" s="65" t="s">
        <v>1494</v>
      </c>
      <c r="B554" s="65" t="s">
        <v>1495</v>
      </c>
      <c r="C554" s="65" t="s">
        <v>656</v>
      </c>
      <c r="D554" s="66">
        <v>43146</v>
      </c>
      <c r="E554" s="65" t="s">
        <v>1725</v>
      </c>
      <c r="F554" s="65" t="s">
        <v>270</v>
      </c>
      <c r="G554" s="65" t="s">
        <v>285</v>
      </c>
      <c r="H554" s="67">
        <v>25580</v>
      </c>
    </row>
    <row r="555" spans="1:8" ht="14.25" customHeight="1" x14ac:dyDescent="0.3">
      <c r="A555" s="65" t="s">
        <v>1496</v>
      </c>
      <c r="B555" s="65" t="s">
        <v>1497</v>
      </c>
      <c r="C555" s="65" t="s">
        <v>288</v>
      </c>
      <c r="D555" s="66">
        <v>43159</v>
      </c>
      <c r="E555" s="65" t="s">
        <v>320</v>
      </c>
      <c r="F555" s="65" t="s">
        <v>320</v>
      </c>
      <c r="G555" s="65" t="s">
        <v>257</v>
      </c>
      <c r="H555" s="67">
        <v>25660</v>
      </c>
    </row>
    <row r="556" spans="1:8" ht="14.25" customHeight="1" x14ac:dyDescent="0.3">
      <c r="A556" s="65" t="s">
        <v>1498</v>
      </c>
      <c r="B556" s="65" t="s">
        <v>1499</v>
      </c>
      <c r="C556" s="65" t="s">
        <v>640</v>
      </c>
      <c r="D556" s="66">
        <v>43172</v>
      </c>
      <c r="E556" s="65" t="s">
        <v>1727</v>
      </c>
      <c r="F556" s="65" t="s">
        <v>246</v>
      </c>
      <c r="G556" s="65" t="s">
        <v>367</v>
      </c>
      <c r="H556" s="67">
        <v>25740</v>
      </c>
    </row>
    <row r="557" spans="1:8" ht="14.25" customHeight="1" x14ac:dyDescent="0.3">
      <c r="A557" s="65" t="s">
        <v>1500</v>
      </c>
      <c r="B557" s="65" t="s">
        <v>1501</v>
      </c>
      <c r="C557" s="65" t="s">
        <v>1238</v>
      </c>
      <c r="D557" s="66">
        <v>43185</v>
      </c>
      <c r="E557" s="65" t="s">
        <v>1726</v>
      </c>
      <c r="F557" s="65" t="s">
        <v>284</v>
      </c>
      <c r="G557" s="65" t="s">
        <v>257</v>
      </c>
      <c r="H557" s="67">
        <v>25820</v>
      </c>
    </row>
    <row r="558" spans="1:8" ht="14.25" customHeight="1" x14ac:dyDescent="0.3">
      <c r="A558" s="65" t="s">
        <v>1502</v>
      </c>
      <c r="B558" s="65" t="s">
        <v>1503</v>
      </c>
      <c r="C558" s="65" t="s">
        <v>715</v>
      </c>
      <c r="D558" s="66">
        <v>43198</v>
      </c>
      <c r="E558" s="65" t="s">
        <v>1729</v>
      </c>
      <c r="F558" s="65" t="s">
        <v>377</v>
      </c>
      <c r="G558" s="65" t="s">
        <v>300</v>
      </c>
      <c r="H558" s="67">
        <v>25900</v>
      </c>
    </row>
    <row r="559" spans="1:8" ht="14.25" customHeight="1" x14ac:dyDescent="0.3">
      <c r="A559" s="65" t="s">
        <v>1504</v>
      </c>
      <c r="B559" s="65" t="s">
        <v>1505</v>
      </c>
      <c r="C559" s="65" t="s">
        <v>388</v>
      </c>
      <c r="D559" s="66">
        <v>43211</v>
      </c>
      <c r="E559" s="65" t="s">
        <v>1724</v>
      </c>
      <c r="F559" s="65" t="s">
        <v>237</v>
      </c>
      <c r="G559" s="65" t="s">
        <v>257</v>
      </c>
      <c r="H559" s="67">
        <v>25980</v>
      </c>
    </row>
    <row r="560" spans="1:8" ht="14.25" customHeight="1" x14ac:dyDescent="0.3">
      <c r="A560" s="65" t="s">
        <v>1506</v>
      </c>
      <c r="B560" s="65" t="s">
        <v>1507</v>
      </c>
      <c r="C560" s="65" t="s">
        <v>877</v>
      </c>
      <c r="D560" s="66">
        <v>43224</v>
      </c>
      <c r="E560" s="65" t="s">
        <v>1730</v>
      </c>
      <c r="F560" s="65" t="s">
        <v>237</v>
      </c>
      <c r="G560" s="65" t="s">
        <v>292</v>
      </c>
      <c r="H560" s="67">
        <v>26060</v>
      </c>
    </row>
    <row r="561" spans="1:8" ht="14.25" customHeight="1" x14ac:dyDescent="0.3">
      <c r="A561" s="65" t="s">
        <v>1508</v>
      </c>
      <c r="B561" s="65" t="s">
        <v>1509</v>
      </c>
      <c r="C561" s="65" t="s">
        <v>715</v>
      </c>
      <c r="D561" s="66">
        <v>43237</v>
      </c>
      <c r="E561" s="65" t="s">
        <v>1723</v>
      </c>
      <c r="F561" s="65" t="s">
        <v>246</v>
      </c>
      <c r="G561" s="65" t="s">
        <v>501</v>
      </c>
      <c r="H561" s="67">
        <v>26140</v>
      </c>
    </row>
    <row r="562" spans="1:8" ht="14.25" customHeight="1" x14ac:dyDescent="0.3">
      <c r="A562" s="65" t="s">
        <v>1510</v>
      </c>
      <c r="B562" s="65" t="s">
        <v>1511</v>
      </c>
      <c r="C562" s="65" t="s">
        <v>528</v>
      </c>
      <c r="D562" s="66">
        <v>43250</v>
      </c>
      <c r="E562" s="65" t="s">
        <v>1726</v>
      </c>
      <c r="F562" s="65" t="s">
        <v>284</v>
      </c>
      <c r="G562" s="65" t="s">
        <v>257</v>
      </c>
      <c r="H562" s="67">
        <v>26220</v>
      </c>
    </row>
    <row r="563" spans="1:8" ht="14.25" customHeight="1" x14ac:dyDescent="0.3">
      <c r="A563" s="65" t="s">
        <v>1512</v>
      </c>
      <c r="B563" s="65" t="s">
        <v>1513</v>
      </c>
      <c r="C563" s="65" t="s">
        <v>623</v>
      </c>
      <c r="D563" s="66">
        <v>43263</v>
      </c>
      <c r="E563" s="65" t="s">
        <v>1726</v>
      </c>
      <c r="F563" s="65" t="s">
        <v>284</v>
      </c>
      <c r="G563" s="65" t="s">
        <v>367</v>
      </c>
      <c r="H563" s="67">
        <v>26300</v>
      </c>
    </row>
    <row r="564" spans="1:8" ht="14.25" customHeight="1" x14ac:dyDescent="0.3">
      <c r="A564" s="65" t="s">
        <v>1514</v>
      </c>
      <c r="B564" s="65" t="s">
        <v>1515</v>
      </c>
      <c r="C564" s="65" t="s">
        <v>718</v>
      </c>
      <c r="D564" s="66">
        <v>43276</v>
      </c>
      <c r="E564" s="65" t="s">
        <v>1726</v>
      </c>
      <c r="F564" s="65" t="s">
        <v>284</v>
      </c>
      <c r="G564" s="65" t="s">
        <v>292</v>
      </c>
      <c r="H564" s="67">
        <v>26380</v>
      </c>
    </row>
    <row r="565" spans="1:8" ht="14.25" customHeight="1" x14ac:dyDescent="0.3">
      <c r="A565" s="65" t="s">
        <v>1516</v>
      </c>
      <c r="B565" s="65" t="s">
        <v>1517</v>
      </c>
      <c r="C565" s="65" t="s">
        <v>1518</v>
      </c>
      <c r="D565" s="66">
        <v>43289</v>
      </c>
      <c r="E565" s="65" t="s">
        <v>1726</v>
      </c>
      <c r="F565" s="65" t="s">
        <v>284</v>
      </c>
      <c r="G565" s="65" t="s">
        <v>292</v>
      </c>
      <c r="H565" s="67">
        <v>26460</v>
      </c>
    </row>
    <row r="566" spans="1:8" ht="14.25" customHeight="1" x14ac:dyDescent="0.3">
      <c r="A566" s="65" t="s">
        <v>1519</v>
      </c>
      <c r="B566" s="65" t="s">
        <v>1520</v>
      </c>
      <c r="C566" s="65" t="s">
        <v>279</v>
      </c>
      <c r="D566" s="66">
        <v>43302</v>
      </c>
      <c r="E566" s="65" t="s">
        <v>320</v>
      </c>
      <c r="F566" s="65" t="s">
        <v>320</v>
      </c>
      <c r="G566" s="65" t="s">
        <v>257</v>
      </c>
      <c r="H566" s="67">
        <v>26540</v>
      </c>
    </row>
    <row r="567" spans="1:8" ht="14.25" customHeight="1" x14ac:dyDescent="0.3">
      <c r="A567" s="65" t="s">
        <v>1521</v>
      </c>
      <c r="B567" s="65" t="s">
        <v>1522</v>
      </c>
      <c r="C567" s="65" t="s">
        <v>1523</v>
      </c>
      <c r="D567" s="66">
        <v>43315</v>
      </c>
      <c r="E567" s="65" t="s">
        <v>1725</v>
      </c>
      <c r="F567" s="65" t="s">
        <v>270</v>
      </c>
      <c r="G567" s="65" t="s">
        <v>292</v>
      </c>
      <c r="H567" s="67">
        <v>26620</v>
      </c>
    </row>
    <row r="568" spans="1:8" ht="14.25" customHeight="1" x14ac:dyDescent="0.3">
      <c r="A568" s="65" t="s">
        <v>1524</v>
      </c>
      <c r="B568" s="65" t="s">
        <v>1525</v>
      </c>
      <c r="C568" s="65" t="s">
        <v>357</v>
      </c>
      <c r="D568" s="66">
        <v>43328</v>
      </c>
      <c r="E568" s="65" t="s">
        <v>1726</v>
      </c>
      <c r="F568" s="65" t="s">
        <v>284</v>
      </c>
      <c r="G568" s="65" t="s">
        <v>257</v>
      </c>
      <c r="H568" s="67">
        <v>26700</v>
      </c>
    </row>
    <row r="569" spans="1:8" ht="14.25" customHeight="1" x14ac:dyDescent="0.3">
      <c r="A569" s="65" t="s">
        <v>1526</v>
      </c>
      <c r="B569" s="65" t="s">
        <v>1527</v>
      </c>
      <c r="C569" s="65" t="s">
        <v>718</v>
      </c>
      <c r="D569" s="66">
        <v>43341</v>
      </c>
      <c r="E569" s="65" t="s">
        <v>1725</v>
      </c>
      <c r="F569" s="65" t="s">
        <v>270</v>
      </c>
      <c r="G569" s="65" t="s">
        <v>292</v>
      </c>
      <c r="H569" s="67">
        <v>26780</v>
      </c>
    </row>
    <row r="570" spans="1:8" ht="14.25" customHeight="1" x14ac:dyDescent="0.3">
      <c r="A570" s="65" t="s">
        <v>1528</v>
      </c>
      <c r="B570" s="65" t="s">
        <v>1529</v>
      </c>
      <c r="C570" s="65" t="s">
        <v>427</v>
      </c>
      <c r="D570" s="66">
        <v>43354</v>
      </c>
      <c r="E570" s="65" t="s">
        <v>320</v>
      </c>
      <c r="F570" s="65" t="s">
        <v>320</v>
      </c>
      <c r="G570" s="65" t="s">
        <v>257</v>
      </c>
      <c r="H570" s="67">
        <v>26860</v>
      </c>
    </row>
    <row r="571" spans="1:8" ht="14.25" customHeight="1" x14ac:dyDescent="0.3">
      <c r="A571" s="65" t="s">
        <v>1530</v>
      </c>
      <c r="B571" s="65" t="s">
        <v>1531</v>
      </c>
      <c r="C571" s="65" t="s">
        <v>1532</v>
      </c>
      <c r="D571" s="66">
        <v>43367</v>
      </c>
      <c r="E571" s="65" t="s">
        <v>1723</v>
      </c>
      <c r="F571" s="65" t="s">
        <v>246</v>
      </c>
      <c r="G571" s="65" t="s">
        <v>343</v>
      </c>
      <c r="H571" s="67">
        <v>26940</v>
      </c>
    </row>
    <row r="572" spans="1:8" ht="14.25" customHeight="1" x14ac:dyDescent="0.3">
      <c r="A572" s="65" t="s">
        <v>1533</v>
      </c>
      <c r="B572" s="65" t="s">
        <v>1534</v>
      </c>
      <c r="C572" s="65" t="s">
        <v>388</v>
      </c>
      <c r="D572" s="66">
        <v>43380</v>
      </c>
      <c r="E572" s="65" t="s">
        <v>1726</v>
      </c>
      <c r="F572" s="65" t="s">
        <v>284</v>
      </c>
      <c r="G572" s="65" t="s">
        <v>257</v>
      </c>
      <c r="H572" s="67">
        <v>27020</v>
      </c>
    </row>
    <row r="573" spans="1:8" ht="14.25" customHeight="1" x14ac:dyDescent="0.3">
      <c r="A573" s="65" t="s">
        <v>1535</v>
      </c>
      <c r="B573" s="65" t="s">
        <v>1536</v>
      </c>
      <c r="C573" s="65" t="s">
        <v>1166</v>
      </c>
      <c r="D573" s="66">
        <v>43393</v>
      </c>
      <c r="E573" s="65" t="s">
        <v>1725</v>
      </c>
      <c r="F573" s="65" t="s">
        <v>270</v>
      </c>
      <c r="G573" s="65" t="s">
        <v>317</v>
      </c>
      <c r="H573" s="67">
        <v>27100</v>
      </c>
    </row>
    <row r="574" spans="1:8" ht="14.25" customHeight="1" x14ac:dyDescent="0.3">
      <c r="A574" s="65" t="s">
        <v>1537</v>
      </c>
      <c r="B574" s="65" t="s">
        <v>1538</v>
      </c>
      <c r="C574" s="65" t="s">
        <v>441</v>
      </c>
      <c r="D574" s="66">
        <v>43406</v>
      </c>
      <c r="E574" s="65" t="s">
        <v>1725</v>
      </c>
      <c r="F574" s="65" t="s">
        <v>270</v>
      </c>
      <c r="G574" s="65" t="s">
        <v>257</v>
      </c>
      <c r="H574" s="67">
        <v>27180</v>
      </c>
    </row>
    <row r="575" spans="1:8" ht="14.25" customHeight="1" x14ac:dyDescent="0.3">
      <c r="A575" s="65" t="s">
        <v>1539</v>
      </c>
      <c r="B575" s="65" t="s">
        <v>1540</v>
      </c>
      <c r="C575" s="65" t="s">
        <v>441</v>
      </c>
      <c r="D575" s="66">
        <v>43419</v>
      </c>
      <c r="E575" s="65" t="s">
        <v>1725</v>
      </c>
      <c r="F575" s="65" t="s">
        <v>270</v>
      </c>
      <c r="G575" s="65" t="s">
        <v>257</v>
      </c>
      <c r="H575" s="67">
        <v>27260</v>
      </c>
    </row>
    <row r="576" spans="1:8" ht="14.25" customHeight="1" x14ac:dyDescent="0.3">
      <c r="A576" s="65" t="s">
        <v>1541</v>
      </c>
      <c r="B576" s="65" t="s">
        <v>1542</v>
      </c>
      <c r="C576" s="65" t="s">
        <v>441</v>
      </c>
      <c r="D576" s="66">
        <v>43432</v>
      </c>
      <c r="E576" s="65" t="s">
        <v>1725</v>
      </c>
      <c r="F576" s="65" t="s">
        <v>270</v>
      </c>
      <c r="G576" s="65" t="s">
        <v>257</v>
      </c>
      <c r="H576" s="67">
        <v>27340</v>
      </c>
    </row>
    <row r="577" spans="1:8" ht="14.25" customHeight="1" x14ac:dyDescent="0.3">
      <c r="A577" s="65" t="s">
        <v>1543</v>
      </c>
      <c r="B577" s="65" t="s">
        <v>1544</v>
      </c>
      <c r="C577" s="65" t="s">
        <v>514</v>
      </c>
      <c r="D577" s="66">
        <v>43445</v>
      </c>
      <c r="E577" s="65" t="s">
        <v>1725</v>
      </c>
      <c r="F577" s="65" t="s">
        <v>270</v>
      </c>
      <c r="G577" s="65" t="s">
        <v>257</v>
      </c>
      <c r="H577" s="67">
        <v>27420</v>
      </c>
    </row>
    <row r="578" spans="1:8" ht="14.25" customHeight="1" x14ac:dyDescent="0.3">
      <c r="A578" s="65" t="s">
        <v>1545</v>
      </c>
      <c r="B578" s="65" t="s">
        <v>1546</v>
      </c>
      <c r="C578" s="65" t="s">
        <v>989</v>
      </c>
      <c r="D578" s="66">
        <v>43458</v>
      </c>
      <c r="E578" s="65" t="s">
        <v>1726</v>
      </c>
      <c r="F578" s="65" t="s">
        <v>284</v>
      </c>
      <c r="G578" s="65" t="s">
        <v>257</v>
      </c>
      <c r="H578" s="67">
        <v>27500</v>
      </c>
    </row>
    <row r="579" spans="1:8" ht="14.25" customHeight="1" x14ac:dyDescent="0.3">
      <c r="A579" s="65" t="s">
        <v>1547</v>
      </c>
      <c r="B579" s="65" t="s">
        <v>1548</v>
      </c>
      <c r="C579" s="65" t="s">
        <v>715</v>
      </c>
      <c r="D579" s="66">
        <v>43471</v>
      </c>
      <c r="E579" s="65" t="s">
        <v>1723</v>
      </c>
      <c r="F579" s="65" t="s">
        <v>246</v>
      </c>
      <c r="G579" s="65" t="s">
        <v>501</v>
      </c>
      <c r="H579" s="67">
        <v>27580</v>
      </c>
    </row>
    <row r="580" spans="1:8" ht="14.25" customHeight="1" x14ac:dyDescent="0.3">
      <c r="A580" s="65" t="s">
        <v>1549</v>
      </c>
      <c r="B580" s="65" t="s">
        <v>1550</v>
      </c>
      <c r="C580" s="65" t="s">
        <v>288</v>
      </c>
      <c r="D580" s="66">
        <v>43484</v>
      </c>
      <c r="E580" s="65" t="s">
        <v>1730</v>
      </c>
      <c r="F580" s="65" t="s">
        <v>237</v>
      </c>
      <c r="G580" s="65" t="s">
        <v>257</v>
      </c>
      <c r="H580" s="67">
        <v>27660</v>
      </c>
    </row>
    <row r="581" spans="1:8" ht="14.25" customHeight="1" x14ac:dyDescent="0.3">
      <c r="A581" s="65" t="s">
        <v>1551</v>
      </c>
      <c r="B581" s="65" t="s">
        <v>1552</v>
      </c>
      <c r="C581" s="65" t="s">
        <v>1553</v>
      </c>
      <c r="D581" s="66">
        <v>43497</v>
      </c>
      <c r="E581" s="65" t="s">
        <v>1723</v>
      </c>
      <c r="F581" s="65" t="s">
        <v>246</v>
      </c>
      <c r="G581" s="65" t="s">
        <v>285</v>
      </c>
      <c r="H581" s="67">
        <v>27740</v>
      </c>
    </row>
    <row r="582" spans="1:8" ht="14.25" customHeight="1" x14ac:dyDescent="0.3">
      <c r="A582" s="65" t="s">
        <v>1554</v>
      </c>
      <c r="B582" s="65" t="s">
        <v>1555</v>
      </c>
      <c r="C582" s="65" t="s">
        <v>678</v>
      </c>
      <c r="D582" s="66">
        <v>43510</v>
      </c>
      <c r="E582" s="65" t="s">
        <v>1727</v>
      </c>
      <c r="F582" s="65" t="s">
        <v>246</v>
      </c>
      <c r="G582" s="65" t="s">
        <v>257</v>
      </c>
      <c r="H582" s="67">
        <v>27820</v>
      </c>
    </row>
    <row r="583" spans="1:8" ht="14.25" customHeight="1" x14ac:dyDescent="0.3">
      <c r="A583" s="65" t="s">
        <v>1556</v>
      </c>
      <c r="B583" s="65" t="s">
        <v>1557</v>
      </c>
      <c r="C583" s="65" t="s">
        <v>1558</v>
      </c>
      <c r="D583" s="66">
        <v>43523</v>
      </c>
      <c r="E583" s="65" t="s">
        <v>1723</v>
      </c>
      <c r="F583" s="65" t="s">
        <v>246</v>
      </c>
      <c r="G583" s="65" t="s">
        <v>257</v>
      </c>
      <c r="H583" s="67">
        <v>27900</v>
      </c>
    </row>
    <row r="584" spans="1:8" ht="14.25" customHeight="1" x14ac:dyDescent="0.3">
      <c r="A584" s="65" t="s">
        <v>1559</v>
      </c>
      <c r="B584" s="65" t="s">
        <v>1560</v>
      </c>
      <c r="C584" s="65" t="s">
        <v>582</v>
      </c>
      <c r="D584" s="66">
        <v>43536</v>
      </c>
      <c r="E584" s="65" t="s">
        <v>1727</v>
      </c>
      <c r="F584" s="65" t="s">
        <v>246</v>
      </c>
      <c r="G584" s="65" t="s">
        <v>257</v>
      </c>
      <c r="H584" s="67">
        <v>27980</v>
      </c>
    </row>
    <row r="585" spans="1:8" ht="14.25" customHeight="1" x14ac:dyDescent="0.3">
      <c r="A585" s="65" t="s">
        <v>1561</v>
      </c>
      <c r="B585" s="65" t="s">
        <v>1562</v>
      </c>
      <c r="C585" s="65" t="s">
        <v>288</v>
      </c>
      <c r="D585" s="66">
        <v>43549</v>
      </c>
      <c r="E585" s="65" t="s">
        <v>1723</v>
      </c>
      <c r="F585" s="65" t="s">
        <v>246</v>
      </c>
      <c r="G585" s="65" t="s">
        <v>257</v>
      </c>
      <c r="H585" s="67">
        <v>28060</v>
      </c>
    </row>
    <row r="586" spans="1:8" ht="14.25" customHeight="1" x14ac:dyDescent="0.3">
      <c r="A586" s="65" t="s">
        <v>1563</v>
      </c>
      <c r="B586" s="65" t="s">
        <v>1564</v>
      </c>
      <c r="C586" s="65" t="s">
        <v>801</v>
      </c>
      <c r="D586" s="66">
        <v>43562</v>
      </c>
      <c r="E586" s="65" t="s">
        <v>1723</v>
      </c>
      <c r="F586" s="65" t="s">
        <v>246</v>
      </c>
      <c r="G586" s="65" t="s">
        <v>296</v>
      </c>
      <c r="H586" s="67">
        <v>28140</v>
      </c>
    </row>
    <row r="587" spans="1:8" ht="14.25" customHeight="1" x14ac:dyDescent="0.3">
      <c r="A587" s="65" t="s">
        <v>1565</v>
      </c>
      <c r="B587" s="65" t="s">
        <v>1566</v>
      </c>
      <c r="C587" s="65" t="s">
        <v>718</v>
      </c>
      <c r="D587" s="66">
        <v>43575</v>
      </c>
      <c r="E587" s="65" t="s">
        <v>1723</v>
      </c>
      <c r="F587" s="65" t="s">
        <v>246</v>
      </c>
      <c r="G587" s="65" t="s">
        <v>292</v>
      </c>
      <c r="H587" s="67">
        <v>28220</v>
      </c>
    </row>
    <row r="588" spans="1:8" ht="14.25" customHeight="1" x14ac:dyDescent="0.3">
      <c r="A588" s="65" t="s">
        <v>1567</v>
      </c>
      <c r="B588" s="65" t="s">
        <v>1568</v>
      </c>
      <c r="C588" s="65" t="s">
        <v>288</v>
      </c>
      <c r="D588" s="66">
        <v>43588</v>
      </c>
      <c r="E588" s="65" t="s">
        <v>1723</v>
      </c>
      <c r="F588" s="65" t="s">
        <v>246</v>
      </c>
      <c r="G588" s="65" t="s">
        <v>257</v>
      </c>
      <c r="H588" s="67">
        <v>28300</v>
      </c>
    </row>
    <row r="589" spans="1:8" ht="14.25" customHeight="1" x14ac:dyDescent="0.3">
      <c r="A589" s="65" t="s">
        <v>1569</v>
      </c>
      <c r="B589" s="65" t="s">
        <v>1570</v>
      </c>
      <c r="C589" s="65" t="s">
        <v>514</v>
      </c>
      <c r="D589" s="66">
        <v>43601</v>
      </c>
      <c r="E589" s="65" t="s">
        <v>234</v>
      </c>
      <c r="F589" s="65" t="s">
        <v>236</v>
      </c>
      <c r="G589" s="65" t="s">
        <v>257</v>
      </c>
      <c r="H589" s="67">
        <v>28380</v>
      </c>
    </row>
    <row r="590" spans="1:8" ht="14.25" customHeight="1" x14ac:dyDescent="0.3">
      <c r="A590" s="65" t="s">
        <v>1571</v>
      </c>
      <c r="B590" s="65" t="s">
        <v>1572</v>
      </c>
      <c r="C590" s="65" t="s">
        <v>611</v>
      </c>
      <c r="D590" s="66">
        <v>43614</v>
      </c>
      <c r="E590" s="65" t="s">
        <v>320</v>
      </c>
      <c r="F590" s="65" t="s">
        <v>320</v>
      </c>
      <c r="G590" s="65" t="s">
        <v>257</v>
      </c>
      <c r="H590" s="67">
        <v>28460</v>
      </c>
    </row>
    <row r="591" spans="1:8" ht="14.25" customHeight="1" x14ac:dyDescent="0.3">
      <c r="A591" s="65" t="s">
        <v>1573</v>
      </c>
      <c r="B591" s="65" t="s">
        <v>1574</v>
      </c>
      <c r="C591" s="65" t="s">
        <v>288</v>
      </c>
      <c r="D591" s="66">
        <v>43627</v>
      </c>
      <c r="E591" s="65" t="s">
        <v>320</v>
      </c>
      <c r="F591" s="65" t="s">
        <v>320</v>
      </c>
      <c r="G591" s="65" t="s">
        <v>257</v>
      </c>
      <c r="H591" s="67">
        <v>28540</v>
      </c>
    </row>
    <row r="592" spans="1:8" ht="14.25" customHeight="1" x14ac:dyDescent="0.3">
      <c r="A592" s="65" t="s">
        <v>1575</v>
      </c>
      <c r="B592" s="65" t="s">
        <v>1576</v>
      </c>
      <c r="C592" s="65" t="s">
        <v>1050</v>
      </c>
      <c r="D592" s="66">
        <v>43640</v>
      </c>
      <c r="E592" s="65" t="s">
        <v>234</v>
      </c>
      <c r="F592" s="65" t="s">
        <v>236</v>
      </c>
      <c r="G592" s="65" t="s">
        <v>292</v>
      </c>
      <c r="H592" s="67">
        <v>28620</v>
      </c>
    </row>
    <row r="593" spans="1:8" ht="14.25" customHeight="1" x14ac:dyDescent="0.3">
      <c r="A593" s="65" t="s">
        <v>1577</v>
      </c>
      <c r="B593" s="65" t="s">
        <v>1578</v>
      </c>
      <c r="C593" s="65" t="s">
        <v>640</v>
      </c>
      <c r="D593" s="66">
        <v>43653</v>
      </c>
      <c r="E593" s="65" t="s">
        <v>1727</v>
      </c>
      <c r="F593" s="65" t="s">
        <v>246</v>
      </c>
      <c r="G593" s="65" t="s">
        <v>367</v>
      </c>
      <c r="H593" s="67">
        <v>28700</v>
      </c>
    </row>
    <row r="594" spans="1:8" ht="14.25" customHeight="1" x14ac:dyDescent="0.3">
      <c r="A594" s="65" t="s">
        <v>1579</v>
      </c>
      <c r="B594" s="65" t="s">
        <v>1580</v>
      </c>
      <c r="C594" s="65" t="s">
        <v>514</v>
      </c>
      <c r="D594" s="66">
        <v>43666</v>
      </c>
      <c r="E594" s="65" t="s">
        <v>1726</v>
      </c>
      <c r="F594" s="65" t="s">
        <v>284</v>
      </c>
      <c r="G594" s="65" t="s">
        <v>257</v>
      </c>
      <c r="H594" s="67">
        <v>28780</v>
      </c>
    </row>
    <row r="595" spans="1:8" ht="14.25" customHeight="1" x14ac:dyDescent="0.3">
      <c r="A595" s="65" t="s">
        <v>1581</v>
      </c>
      <c r="B595" s="65" t="s">
        <v>1582</v>
      </c>
      <c r="C595" s="65" t="s">
        <v>388</v>
      </c>
      <c r="D595" s="66">
        <v>43679</v>
      </c>
      <c r="E595" s="65" t="s">
        <v>1725</v>
      </c>
      <c r="F595" s="65" t="s">
        <v>270</v>
      </c>
      <c r="G595" s="65" t="s">
        <v>257</v>
      </c>
      <c r="H595" s="67">
        <v>28860</v>
      </c>
    </row>
    <row r="596" spans="1:8" ht="14.25" customHeight="1" x14ac:dyDescent="0.3">
      <c r="A596" s="65" t="s">
        <v>1583</v>
      </c>
      <c r="B596" s="65" t="s">
        <v>1584</v>
      </c>
      <c r="C596" s="65" t="s">
        <v>611</v>
      </c>
      <c r="D596" s="66">
        <v>43692</v>
      </c>
      <c r="E596" s="65" t="s">
        <v>1725</v>
      </c>
      <c r="F596" s="65" t="s">
        <v>270</v>
      </c>
      <c r="G596" s="65" t="s">
        <v>257</v>
      </c>
      <c r="H596" s="67">
        <v>28940</v>
      </c>
    </row>
    <row r="597" spans="1:8" ht="14.25" customHeight="1" x14ac:dyDescent="0.3">
      <c r="A597" s="65" t="s">
        <v>1585</v>
      </c>
      <c r="B597" s="65" t="s">
        <v>1586</v>
      </c>
      <c r="C597" s="65" t="s">
        <v>611</v>
      </c>
      <c r="D597" s="66">
        <v>43705</v>
      </c>
      <c r="E597" s="65" t="s">
        <v>1725</v>
      </c>
      <c r="F597" s="65" t="s">
        <v>270</v>
      </c>
      <c r="G597" s="65" t="s">
        <v>257</v>
      </c>
      <c r="H597" s="67">
        <v>29020</v>
      </c>
    </row>
    <row r="598" spans="1:8" ht="14.25" customHeight="1" x14ac:dyDescent="0.3">
      <c r="A598" s="65" t="s">
        <v>1587</v>
      </c>
      <c r="B598" s="65" t="s">
        <v>1588</v>
      </c>
      <c r="C598" s="65" t="s">
        <v>1589</v>
      </c>
      <c r="D598" s="66">
        <v>43718</v>
      </c>
      <c r="E598" s="65" t="s">
        <v>234</v>
      </c>
      <c r="F598" s="65" t="s">
        <v>236</v>
      </c>
      <c r="G598" s="65" t="s">
        <v>285</v>
      </c>
      <c r="H598" s="67">
        <v>29100</v>
      </c>
    </row>
    <row r="599" spans="1:8" ht="14.25" customHeight="1" x14ac:dyDescent="0.3">
      <c r="A599" s="65" t="s">
        <v>1590</v>
      </c>
      <c r="B599" s="65" t="s">
        <v>1591</v>
      </c>
      <c r="C599" s="65" t="s">
        <v>279</v>
      </c>
      <c r="D599" s="66">
        <v>43731</v>
      </c>
      <c r="E599" s="65" t="s">
        <v>1726</v>
      </c>
      <c r="F599" s="65" t="s">
        <v>284</v>
      </c>
      <c r="G599" s="65" t="s">
        <v>257</v>
      </c>
      <c r="H599" s="67">
        <v>29180</v>
      </c>
    </row>
    <row r="600" spans="1:8" ht="14.25" customHeight="1" x14ac:dyDescent="0.3">
      <c r="A600" s="65" t="s">
        <v>1592</v>
      </c>
      <c r="B600" s="65" t="s">
        <v>1593</v>
      </c>
      <c r="C600" s="65" t="s">
        <v>715</v>
      </c>
      <c r="D600" s="66">
        <v>43744</v>
      </c>
      <c r="E600" s="65" t="s">
        <v>1723</v>
      </c>
      <c r="F600" s="65" t="s">
        <v>246</v>
      </c>
      <c r="G600" s="65" t="s">
        <v>300</v>
      </c>
      <c r="H600" s="67">
        <v>29260</v>
      </c>
    </row>
    <row r="601" spans="1:8" ht="14.25" customHeight="1" x14ac:dyDescent="0.3">
      <c r="A601" s="65" t="s">
        <v>1594</v>
      </c>
      <c r="B601" s="65" t="s">
        <v>1595</v>
      </c>
      <c r="C601" s="65" t="s">
        <v>950</v>
      </c>
      <c r="D601" s="66">
        <v>43757</v>
      </c>
      <c r="E601" s="65" t="s">
        <v>1723</v>
      </c>
      <c r="F601" s="65" t="s">
        <v>246</v>
      </c>
      <c r="G601" s="65" t="s">
        <v>257</v>
      </c>
      <c r="H601" s="67">
        <v>29340</v>
      </c>
    </row>
    <row r="602" spans="1:8" ht="14.25" customHeight="1" x14ac:dyDescent="0.3">
      <c r="A602" s="65" t="s">
        <v>1596</v>
      </c>
      <c r="B602" s="65" t="s">
        <v>1597</v>
      </c>
      <c r="C602" s="65" t="s">
        <v>715</v>
      </c>
      <c r="D602" s="66">
        <v>43770</v>
      </c>
      <c r="E602" s="65" t="s">
        <v>234</v>
      </c>
      <c r="F602" s="65" t="s">
        <v>236</v>
      </c>
      <c r="G602" s="65" t="s">
        <v>300</v>
      </c>
      <c r="H602" s="67">
        <v>29420</v>
      </c>
    </row>
    <row r="603" spans="1:8" ht="14.25" customHeight="1" x14ac:dyDescent="0.3">
      <c r="A603" s="65" t="s">
        <v>1598</v>
      </c>
      <c r="B603" s="65" t="s">
        <v>1599</v>
      </c>
      <c r="C603" s="65" t="s">
        <v>611</v>
      </c>
      <c r="D603" s="66">
        <v>43783</v>
      </c>
      <c r="E603" s="65" t="s">
        <v>1723</v>
      </c>
      <c r="F603" s="65" t="s">
        <v>246</v>
      </c>
      <c r="G603" s="65" t="s">
        <v>257</v>
      </c>
      <c r="H603" s="67">
        <v>29500</v>
      </c>
    </row>
    <row r="604" spans="1:8" ht="14.25" customHeight="1" x14ac:dyDescent="0.3">
      <c r="A604" s="65" t="s">
        <v>1600</v>
      </c>
      <c r="B604" s="65" t="s">
        <v>1601</v>
      </c>
      <c r="C604" s="65" t="s">
        <v>611</v>
      </c>
      <c r="D604" s="66">
        <v>43796</v>
      </c>
      <c r="E604" s="65" t="s">
        <v>1729</v>
      </c>
      <c r="F604" s="65" t="s">
        <v>377</v>
      </c>
      <c r="G604" s="65" t="s">
        <v>257</v>
      </c>
      <c r="H604" s="67">
        <v>29580</v>
      </c>
    </row>
    <row r="605" spans="1:8" ht="14.25" customHeight="1" x14ac:dyDescent="0.3">
      <c r="A605" s="65" t="s">
        <v>1602</v>
      </c>
      <c r="B605" s="65" t="s">
        <v>1603</v>
      </c>
      <c r="C605" s="65" t="s">
        <v>256</v>
      </c>
      <c r="D605" s="66">
        <v>43809</v>
      </c>
      <c r="E605" s="65" t="s">
        <v>1725</v>
      </c>
      <c r="F605" s="65" t="s">
        <v>270</v>
      </c>
      <c r="G605" s="65" t="s">
        <v>257</v>
      </c>
      <c r="H605" s="67">
        <v>29660</v>
      </c>
    </row>
    <row r="606" spans="1:8" ht="14.25" customHeight="1" x14ac:dyDescent="0.3">
      <c r="A606" s="65" t="s">
        <v>1604</v>
      </c>
      <c r="B606" s="65" t="s">
        <v>1605</v>
      </c>
      <c r="C606" s="65" t="s">
        <v>357</v>
      </c>
      <c r="D606" s="66">
        <v>43822</v>
      </c>
      <c r="E606" s="65" t="s">
        <v>1725</v>
      </c>
      <c r="F606" s="65" t="s">
        <v>270</v>
      </c>
      <c r="G606" s="65" t="s">
        <v>257</v>
      </c>
      <c r="H606" s="67">
        <v>29740</v>
      </c>
    </row>
    <row r="607" spans="1:8" ht="14.25" customHeight="1" x14ac:dyDescent="0.3">
      <c r="A607" s="65" t="s">
        <v>1490</v>
      </c>
      <c r="B607" s="65" t="s">
        <v>1606</v>
      </c>
      <c r="C607" s="65" t="s">
        <v>611</v>
      </c>
      <c r="D607" s="66">
        <v>43835</v>
      </c>
      <c r="E607" s="65" t="s">
        <v>1724</v>
      </c>
      <c r="F607" s="65" t="s">
        <v>237</v>
      </c>
      <c r="G607" s="65" t="s">
        <v>257</v>
      </c>
      <c r="H607" s="67">
        <v>29820</v>
      </c>
    </row>
    <row r="608" spans="1:8" ht="14.25" customHeight="1" x14ac:dyDescent="0.3">
      <c r="A608" s="65" t="s">
        <v>1607</v>
      </c>
      <c r="B608" s="65" t="s">
        <v>1608</v>
      </c>
      <c r="C608" s="65" t="s">
        <v>840</v>
      </c>
      <c r="D608" s="66">
        <v>43848</v>
      </c>
      <c r="E608" s="65" t="s">
        <v>1723</v>
      </c>
      <c r="F608" s="65" t="s">
        <v>246</v>
      </c>
      <c r="G608" s="65" t="s">
        <v>271</v>
      </c>
      <c r="H608" s="67">
        <v>29900</v>
      </c>
    </row>
    <row r="609" spans="1:8" ht="14.25" customHeight="1" x14ac:dyDescent="0.3">
      <c r="A609" s="65" t="s">
        <v>1609</v>
      </c>
      <c r="B609" s="65" t="s">
        <v>1610</v>
      </c>
      <c r="C609" s="65" t="s">
        <v>1332</v>
      </c>
      <c r="D609" s="66">
        <v>43861</v>
      </c>
      <c r="E609" s="65" t="s">
        <v>1723</v>
      </c>
      <c r="F609" s="65" t="s">
        <v>246</v>
      </c>
      <c r="G609" s="65" t="s">
        <v>533</v>
      </c>
      <c r="H609" s="67">
        <v>29980</v>
      </c>
    </row>
    <row r="610" spans="1:8" ht="14.25" customHeight="1" x14ac:dyDescent="0.3">
      <c r="A610" s="65" t="s">
        <v>1611</v>
      </c>
      <c r="B610" s="65" t="s">
        <v>1612</v>
      </c>
      <c r="C610" s="65" t="s">
        <v>500</v>
      </c>
      <c r="D610" s="66">
        <v>43874</v>
      </c>
      <c r="E610" s="65" t="s">
        <v>1723</v>
      </c>
      <c r="F610" s="65" t="s">
        <v>246</v>
      </c>
      <c r="G610" s="65" t="s">
        <v>501</v>
      </c>
      <c r="H610" s="67">
        <v>30060</v>
      </c>
    </row>
    <row r="611" spans="1:8" ht="14.25" customHeight="1" x14ac:dyDescent="0.3">
      <c r="A611" s="65" t="s">
        <v>1613</v>
      </c>
      <c r="B611" s="65" t="s">
        <v>1614</v>
      </c>
      <c r="C611" s="65" t="s">
        <v>611</v>
      </c>
      <c r="D611" s="66">
        <v>43887</v>
      </c>
      <c r="E611" s="65" t="s">
        <v>1723</v>
      </c>
      <c r="F611" s="65" t="s">
        <v>246</v>
      </c>
      <c r="G611" s="65" t="s">
        <v>257</v>
      </c>
      <c r="H611" s="67">
        <v>30140</v>
      </c>
    </row>
    <row r="612" spans="1:8" ht="14.25" customHeight="1" x14ac:dyDescent="0.3">
      <c r="A612" s="65" t="s">
        <v>1615</v>
      </c>
      <c r="B612" s="65" t="s">
        <v>1616</v>
      </c>
      <c r="C612" s="65" t="s">
        <v>611</v>
      </c>
      <c r="D612" s="66">
        <v>43900</v>
      </c>
      <c r="E612" s="65" t="s">
        <v>1723</v>
      </c>
      <c r="F612" s="65" t="s">
        <v>246</v>
      </c>
      <c r="G612" s="65" t="s">
        <v>257</v>
      </c>
      <c r="H612" s="67">
        <v>30220</v>
      </c>
    </row>
    <row r="613" spans="1:8" ht="14.25" customHeight="1" x14ac:dyDescent="0.3">
      <c r="A613" s="65" t="s">
        <v>1617</v>
      </c>
      <c r="B613" s="65" t="s">
        <v>1618</v>
      </c>
      <c r="C613" s="65" t="s">
        <v>733</v>
      </c>
      <c r="D613" s="66">
        <v>43913</v>
      </c>
      <c r="E613" s="65" t="s">
        <v>1727</v>
      </c>
      <c r="F613" s="65" t="s">
        <v>246</v>
      </c>
      <c r="G613" s="65" t="s">
        <v>367</v>
      </c>
      <c r="H613" s="67">
        <v>30300</v>
      </c>
    </row>
    <row r="614" spans="1:8" ht="14.25" customHeight="1" x14ac:dyDescent="0.3">
      <c r="A614" s="65" t="s">
        <v>1619</v>
      </c>
      <c r="B614" s="65" t="s">
        <v>1620</v>
      </c>
      <c r="C614" s="65" t="s">
        <v>733</v>
      </c>
      <c r="D614" s="66">
        <v>43926</v>
      </c>
      <c r="E614" s="65" t="s">
        <v>1727</v>
      </c>
      <c r="F614" s="65" t="s">
        <v>246</v>
      </c>
      <c r="G614" s="65" t="s">
        <v>367</v>
      </c>
      <c r="H614" s="67">
        <v>30380</v>
      </c>
    </row>
    <row r="615" spans="1:8" ht="14.25" customHeight="1" x14ac:dyDescent="0.3">
      <c r="A615" s="65" t="s">
        <v>1621</v>
      </c>
      <c r="B615" s="65" t="s">
        <v>1622</v>
      </c>
      <c r="C615" s="65" t="s">
        <v>733</v>
      </c>
      <c r="D615" s="66">
        <v>43939</v>
      </c>
      <c r="E615" s="65" t="s">
        <v>1727</v>
      </c>
      <c r="F615" s="65" t="s">
        <v>246</v>
      </c>
      <c r="G615" s="65" t="s">
        <v>367</v>
      </c>
      <c r="H615" s="67">
        <v>30460</v>
      </c>
    </row>
    <row r="616" spans="1:8" ht="14.25" customHeight="1" x14ac:dyDescent="0.3">
      <c r="A616" s="65" t="s">
        <v>1623</v>
      </c>
      <c r="B616" s="65" t="s">
        <v>1624</v>
      </c>
      <c r="C616" s="65" t="s">
        <v>351</v>
      </c>
      <c r="D616" s="66">
        <v>43952</v>
      </c>
      <c r="E616" s="65" t="s">
        <v>1727</v>
      </c>
      <c r="F616" s="65" t="s">
        <v>246</v>
      </c>
      <c r="G616" s="65" t="s">
        <v>332</v>
      </c>
      <c r="H616" s="67">
        <v>30540</v>
      </c>
    </row>
    <row r="617" spans="1:8" ht="14.25" customHeight="1" x14ac:dyDescent="0.3">
      <c r="A617" s="65" t="s">
        <v>1625</v>
      </c>
      <c r="B617" s="65" t="s">
        <v>1626</v>
      </c>
      <c r="C617" s="65" t="s">
        <v>718</v>
      </c>
      <c r="D617" s="66">
        <v>43965</v>
      </c>
      <c r="E617" s="65" t="s">
        <v>320</v>
      </c>
      <c r="F617" s="65" t="s">
        <v>320</v>
      </c>
      <c r="G617" s="65" t="s">
        <v>292</v>
      </c>
      <c r="H617" s="67">
        <v>30620</v>
      </c>
    </row>
    <row r="618" spans="1:8" ht="14.25" customHeight="1" x14ac:dyDescent="0.3">
      <c r="A618" s="65" t="s">
        <v>1627</v>
      </c>
      <c r="B618" s="65" t="s">
        <v>1628</v>
      </c>
      <c r="C618" s="65" t="s">
        <v>611</v>
      </c>
      <c r="D618" s="66">
        <v>43978</v>
      </c>
      <c r="E618" s="65" t="s">
        <v>320</v>
      </c>
      <c r="F618" s="65" t="s">
        <v>320</v>
      </c>
      <c r="G618" s="65" t="s">
        <v>257</v>
      </c>
      <c r="H618" s="67">
        <v>30700</v>
      </c>
    </row>
    <row r="619" spans="1:8" ht="14.25" customHeight="1" x14ac:dyDescent="0.3">
      <c r="A619" s="65" t="s">
        <v>1629</v>
      </c>
      <c r="B619" s="65" t="s">
        <v>1630</v>
      </c>
      <c r="C619" s="65" t="s">
        <v>1631</v>
      </c>
      <c r="D619" s="66">
        <v>43991</v>
      </c>
      <c r="E619" s="65" t="s">
        <v>1727</v>
      </c>
      <c r="F619" s="65" t="s">
        <v>246</v>
      </c>
      <c r="G619" s="65" t="s">
        <v>257</v>
      </c>
      <c r="H619" s="67">
        <v>30780</v>
      </c>
    </row>
    <row r="620" spans="1:8" ht="14.25" customHeight="1" x14ac:dyDescent="0.3">
      <c r="A620" s="65" t="s">
        <v>1632</v>
      </c>
      <c r="B620" s="65" t="s">
        <v>1633</v>
      </c>
      <c r="C620" s="65" t="s">
        <v>279</v>
      </c>
      <c r="D620" s="66">
        <v>44004</v>
      </c>
      <c r="E620" s="65" t="s">
        <v>1727</v>
      </c>
      <c r="F620" s="65" t="s">
        <v>246</v>
      </c>
      <c r="G620" s="65" t="s">
        <v>257</v>
      </c>
      <c r="H620" s="67">
        <v>30860</v>
      </c>
    </row>
    <row r="621" spans="1:8" ht="14.25" customHeight="1" x14ac:dyDescent="0.3">
      <c r="A621" s="65" t="s">
        <v>1634</v>
      </c>
      <c r="B621" s="65" t="s">
        <v>1635</v>
      </c>
      <c r="C621" s="65" t="s">
        <v>279</v>
      </c>
      <c r="D621" s="66">
        <v>44017</v>
      </c>
      <c r="E621" s="65" t="s">
        <v>1725</v>
      </c>
      <c r="F621" s="65" t="s">
        <v>270</v>
      </c>
      <c r="G621" s="65" t="s">
        <v>257</v>
      </c>
      <c r="H621" s="67">
        <v>30940</v>
      </c>
    </row>
    <row r="622" spans="1:8" ht="14.25" customHeight="1" x14ac:dyDescent="0.3">
      <c r="A622" s="65" t="s">
        <v>1636</v>
      </c>
      <c r="B622" s="65" t="s">
        <v>1637</v>
      </c>
      <c r="C622" s="65" t="s">
        <v>678</v>
      </c>
      <c r="D622" s="66">
        <v>44030</v>
      </c>
      <c r="E622" s="65" t="s">
        <v>1725</v>
      </c>
      <c r="F622" s="65" t="s">
        <v>270</v>
      </c>
      <c r="G622" s="65" t="s">
        <v>257</v>
      </c>
      <c r="H622" s="67">
        <v>31020</v>
      </c>
    </row>
    <row r="623" spans="1:8" ht="14.25" customHeight="1" x14ac:dyDescent="0.3">
      <c r="A623" s="65" t="s">
        <v>1638</v>
      </c>
      <c r="B623" s="65" t="s">
        <v>1639</v>
      </c>
      <c r="C623" s="65" t="s">
        <v>1640</v>
      </c>
      <c r="D623" s="66">
        <v>44043</v>
      </c>
      <c r="E623" s="65" t="s">
        <v>1723</v>
      </c>
      <c r="F623" s="65" t="s">
        <v>246</v>
      </c>
      <c r="G623" s="65" t="s">
        <v>271</v>
      </c>
      <c r="H623" s="67">
        <v>31100</v>
      </c>
    </row>
    <row r="624" spans="1:8" ht="14.25" customHeight="1" x14ac:dyDescent="0.3">
      <c r="A624" s="65" t="s">
        <v>1641</v>
      </c>
      <c r="B624" s="65" t="s">
        <v>1642</v>
      </c>
      <c r="C624" s="65" t="s">
        <v>514</v>
      </c>
      <c r="D624" s="66">
        <v>44056</v>
      </c>
      <c r="E624" s="97" t="s">
        <v>1744</v>
      </c>
      <c r="F624" s="98"/>
      <c r="G624" s="65" t="s">
        <v>257</v>
      </c>
      <c r="H624" s="67">
        <v>31180</v>
      </c>
    </row>
    <row r="625" spans="1:8" ht="14.25" customHeight="1" x14ac:dyDescent="0.3">
      <c r="A625" s="65" t="s">
        <v>1643</v>
      </c>
      <c r="B625" s="65" t="s">
        <v>1644</v>
      </c>
      <c r="C625" s="65" t="s">
        <v>331</v>
      </c>
      <c r="D625" s="66">
        <v>44069</v>
      </c>
      <c r="E625" s="65" t="s">
        <v>1726</v>
      </c>
      <c r="F625" s="65" t="s">
        <v>284</v>
      </c>
      <c r="G625" s="65" t="s">
        <v>332</v>
      </c>
      <c r="H625" s="67">
        <v>31260</v>
      </c>
    </row>
    <row r="626" spans="1:8" ht="14.25" customHeight="1" x14ac:dyDescent="0.3">
      <c r="A626" s="65" t="s">
        <v>1645</v>
      </c>
      <c r="B626" s="65" t="s">
        <v>1646</v>
      </c>
      <c r="C626" s="65" t="s">
        <v>611</v>
      </c>
      <c r="D626" s="66">
        <v>44082</v>
      </c>
      <c r="E626" s="65" t="s">
        <v>1727</v>
      </c>
      <c r="F626" s="65" t="s">
        <v>246</v>
      </c>
      <c r="G626" s="65" t="s">
        <v>257</v>
      </c>
      <c r="H626" s="67">
        <v>31340</v>
      </c>
    </row>
    <row r="627" spans="1:8" ht="14.25" customHeight="1" x14ac:dyDescent="0.3">
      <c r="A627" s="65" t="s">
        <v>1647</v>
      </c>
      <c r="B627" s="65" t="s">
        <v>1648</v>
      </c>
      <c r="C627" s="65" t="s">
        <v>611</v>
      </c>
      <c r="D627" s="66">
        <v>44095</v>
      </c>
      <c r="E627" s="65" t="s">
        <v>1727</v>
      </c>
      <c r="F627" s="65" t="s">
        <v>246</v>
      </c>
      <c r="G627" s="65" t="s">
        <v>257</v>
      </c>
      <c r="H627" s="67">
        <v>31420</v>
      </c>
    </row>
    <row r="628" spans="1:8" ht="14.25" customHeight="1" x14ac:dyDescent="0.3">
      <c r="A628" s="65" t="s">
        <v>1649</v>
      </c>
      <c r="B628" s="65" t="s">
        <v>1650</v>
      </c>
      <c r="C628" s="65" t="s">
        <v>718</v>
      </c>
      <c r="D628" s="66">
        <v>44108</v>
      </c>
      <c r="E628" s="65" t="s">
        <v>1727</v>
      </c>
      <c r="F628" s="65" t="s">
        <v>246</v>
      </c>
      <c r="G628" s="65" t="s">
        <v>292</v>
      </c>
      <c r="H628" s="67">
        <v>31500</v>
      </c>
    </row>
    <row r="629" spans="1:8" ht="14.25" customHeight="1" x14ac:dyDescent="0.3">
      <c r="A629" s="65" t="s">
        <v>1651</v>
      </c>
      <c r="B629" s="65" t="s">
        <v>1652</v>
      </c>
      <c r="C629" s="65" t="s">
        <v>514</v>
      </c>
      <c r="D629" s="66">
        <v>44121</v>
      </c>
      <c r="E629" s="65" t="s">
        <v>320</v>
      </c>
      <c r="F629" s="65" t="s">
        <v>320</v>
      </c>
      <c r="G629" s="65" t="s">
        <v>257</v>
      </c>
      <c r="H629" s="67">
        <v>31500</v>
      </c>
    </row>
    <row r="630" spans="1:8" ht="14.25" customHeight="1" x14ac:dyDescent="0.3">
      <c r="A630" s="65" t="s">
        <v>1653</v>
      </c>
      <c r="B630" s="65" t="s">
        <v>1654</v>
      </c>
      <c r="C630" s="65" t="s">
        <v>611</v>
      </c>
      <c r="D630" s="66">
        <v>44134</v>
      </c>
      <c r="E630" s="65" t="s">
        <v>1723</v>
      </c>
      <c r="F630" s="65" t="s">
        <v>246</v>
      </c>
      <c r="G630" s="65" t="s">
        <v>257</v>
      </c>
      <c r="H630" s="67">
        <v>31660</v>
      </c>
    </row>
    <row r="631" spans="1:8" ht="14.25" customHeight="1" x14ac:dyDescent="0.3">
      <c r="A631" s="65" t="s">
        <v>1655</v>
      </c>
      <c r="B631" s="65" t="s">
        <v>1656</v>
      </c>
      <c r="C631" s="65" t="s">
        <v>1657</v>
      </c>
      <c r="D631" s="66">
        <v>44147</v>
      </c>
      <c r="E631" s="65" t="s">
        <v>1723</v>
      </c>
      <c r="F631" s="65" t="s">
        <v>246</v>
      </c>
      <c r="G631" s="65" t="s">
        <v>313</v>
      </c>
      <c r="H631" s="67">
        <v>31740</v>
      </c>
    </row>
    <row r="632" spans="1:8" ht="14.25" customHeight="1" x14ac:dyDescent="0.3">
      <c r="A632" s="65" t="s">
        <v>1658</v>
      </c>
      <c r="B632" s="65" t="s">
        <v>1659</v>
      </c>
      <c r="C632" s="65" t="s">
        <v>992</v>
      </c>
      <c r="D632" s="66">
        <v>44160</v>
      </c>
      <c r="E632" s="65" t="s">
        <v>1723</v>
      </c>
      <c r="F632" s="65" t="s">
        <v>246</v>
      </c>
      <c r="G632" s="65" t="s">
        <v>257</v>
      </c>
      <c r="H632" s="67">
        <v>31820</v>
      </c>
    </row>
    <row r="633" spans="1:8" ht="14.25" customHeight="1" x14ac:dyDescent="0.3">
      <c r="A633" s="65" t="s">
        <v>1660</v>
      </c>
      <c r="B633" s="65" t="s">
        <v>1661</v>
      </c>
      <c r="C633" s="65" t="s">
        <v>611</v>
      </c>
      <c r="D633" s="66">
        <v>44173</v>
      </c>
      <c r="E633" s="65" t="s">
        <v>1723</v>
      </c>
      <c r="F633" s="65" t="s">
        <v>246</v>
      </c>
      <c r="G633" s="65" t="s">
        <v>257</v>
      </c>
      <c r="H633" s="67">
        <v>31900</v>
      </c>
    </row>
    <row r="634" spans="1:8" ht="14.25" customHeight="1" x14ac:dyDescent="0.3">
      <c r="A634" s="65" t="s">
        <v>1662</v>
      </c>
      <c r="B634" s="65" t="s">
        <v>1663</v>
      </c>
      <c r="C634" s="65" t="s">
        <v>1664</v>
      </c>
      <c r="D634" s="66">
        <v>44186</v>
      </c>
      <c r="E634" s="65" t="s">
        <v>1727</v>
      </c>
      <c r="F634" s="65" t="s">
        <v>246</v>
      </c>
      <c r="G634" s="65" t="s">
        <v>257</v>
      </c>
      <c r="H634" s="67">
        <v>31980</v>
      </c>
    </row>
    <row r="635" spans="1:8" ht="14.25" customHeight="1" x14ac:dyDescent="0.3">
      <c r="A635" s="65" t="s">
        <v>1665</v>
      </c>
      <c r="B635" s="65" t="s">
        <v>1666</v>
      </c>
      <c r="C635" s="65" t="s">
        <v>514</v>
      </c>
      <c r="D635" s="66">
        <v>44199</v>
      </c>
      <c r="E635" s="65" t="s">
        <v>1726</v>
      </c>
      <c r="F635" s="65" t="s">
        <v>284</v>
      </c>
      <c r="G635" s="65" t="s">
        <v>257</v>
      </c>
      <c r="H635" s="67">
        <v>32060</v>
      </c>
    </row>
    <row r="636" spans="1:8" ht="14.25" customHeight="1" x14ac:dyDescent="0.3">
      <c r="A636" s="65" t="s">
        <v>1667</v>
      </c>
      <c r="B636" s="65" t="s">
        <v>1668</v>
      </c>
      <c r="C636" s="65" t="s">
        <v>1669</v>
      </c>
      <c r="D636" s="66">
        <v>44212</v>
      </c>
      <c r="E636" s="65" t="s">
        <v>1726</v>
      </c>
      <c r="F636" s="65" t="s">
        <v>284</v>
      </c>
      <c r="G636" s="65" t="s">
        <v>257</v>
      </c>
      <c r="H636" s="67">
        <v>32140</v>
      </c>
    </row>
    <row r="637" spans="1:8" ht="14.25" customHeight="1" x14ac:dyDescent="0.3">
      <c r="A637" s="65" t="s">
        <v>1670</v>
      </c>
      <c r="B637" s="65" t="s">
        <v>1671</v>
      </c>
      <c r="C637" s="65" t="s">
        <v>611</v>
      </c>
      <c r="D637" s="66">
        <v>44225</v>
      </c>
      <c r="E637" s="65" t="s">
        <v>1730</v>
      </c>
      <c r="F637" s="65" t="s">
        <v>237</v>
      </c>
      <c r="G637" s="65" t="s">
        <v>257</v>
      </c>
      <c r="H637" s="67">
        <v>32220</v>
      </c>
    </row>
    <row r="638" spans="1:8" ht="14.25" customHeight="1" x14ac:dyDescent="0.3">
      <c r="A638" s="65" t="s">
        <v>1672</v>
      </c>
      <c r="B638" s="65" t="s">
        <v>1673</v>
      </c>
      <c r="C638" s="65" t="s">
        <v>514</v>
      </c>
      <c r="D638" s="66">
        <v>44238</v>
      </c>
      <c r="E638" s="65" t="s">
        <v>1730</v>
      </c>
      <c r="F638" s="65" t="s">
        <v>237</v>
      </c>
      <c r="G638" s="65" t="s">
        <v>257</v>
      </c>
      <c r="H638" s="67">
        <v>32300</v>
      </c>
    </row>
    <row r="639" spans="1:8" ht="14.25" customHeight="1" x14ac:dyDescent="0.3">
      <c r="A639" s="65" t="s">
        <v>1674</v>
      </c>
      <c r="B639" s="65" t="s">
        <v>1675</v>
      </c>
      <c r="C639" s="65" t="s">
        <v>611</v>
      </c>
      <c r="D639" s="66">
        <v>44251</v>
      </c>
      <c r="E639" s="65" t="s">
        <v>237</v>
      </c>
      <c r="F639" s="65" t="s">
        <v>237</v>
      </c>
      <c r="G639" s="65" t="s">
        <v>257</v>
      </c>
      <c r="H639" s="67">
        <v>32380</v>
      </c>
    </row>
    <row r="640" spans="1:8" ht="14.25" customHeight="1" x14ac:dyDescent="0.3">
      <c r="A640" s="65" t="s">
        <v>1676</v>
      </c>
      <c r="B640" s="65" t="s">
        <v>1677</v>
      </c>
      <c r="C640" s="65" t="s">
        <v>623</v>
      </c>
      <c r="D640" s="66">
        <v>44264</v>
      </c>
      <c r="E640" s="65" t="s">
        <v>1724</v>
      </c>
      <c r="F640" s="65" t="s">
        <v>237</v>
      </c>
      <c r="G640" s="65" t="s">
        <v>367</v>
      </c>
      <c r="H640" s="67">
        <v>32460</v>
      </c>
    </row>
    <row r="641" spans="1:8" ht="14.25" customHeight="1" x14ac:dyDescent="0.3">
      <c r="A641" s="65" t="s">
        <v>1678</v>
      </c>
      <c r="B641" s="65" t="s">
        <v>1679</v>
      </c>
      <c r="C641" s="65" t="s">
        <v>1523</v>
      </c>
      <c r="D641" s="66">
        <v>44277</v>
      </c>
      <c r="E641" s="65" t="s">
        <v>1727</v>
      </c>
      <c r="F641" s="65" t="s">
        <v>246</v>
      </c>
      <c r="G641" s="65" t="s">
        <v>292</v>
      </c>
      <c r="H641" s="67">
        <v>32540</v>
      </c>
    </row>
    <row r="642" spans="1:8" ht="14.25" customHeight="1" x14ac:dyDescent="0.3">
      <c r="A642" s="65" t="s">
        <v>1680</v>
      </c>
      <c r="B642" s="65" t="s">
        <v>1681</v>
      </c>
      <c r="C642" s="65" t="s">
        <v>733</v>
      </c>
      <c r="D642" s="66">
        <v>44290</v>
      </c>
      <c r="E642" s="65" t="s">
        <v>1723</v>
      </c>
      <c r="F642" s="65" t="s">
        <v>246</v>
      </c>
      <c r="G642" s="65" t="s">
        <v>367</v>
      </c>
      <c r="H642" s="67">
        <v>32620</v>
      </c>
    </row>
    <row r="643" spans="1:8" ht="14.25" customHeight="1" x14ac:dyDescent="0.3">
      <c r="A643" s="65" t="s">
        <v>1682</v>
      </c>
      <c r="B643" s="65" t="s">
        <v>1683</v>
      </c>
      <c r="C643" s="65" t="s">
        <v>678</v>
      </c>
      <c r="D643" s="66">
        <v>44303</v>
      </c>
      <c r="E643" s="65" t="s">
        <v>1727</v>
      </c>
      <c r="F643" s="65" t="s">
        <v>246</v>
      </c>
      <c r="G643" s="65" t="s">
        <v>257</v>
      </c>
      <c r="H643" s="67">
        <v>32700</v>
      </c>
    </row>
    <row r="644" spans="1:8" ht="14.25" customHeight="1" x14ac:dyDescent="0.3">
      <c r="A644" s="65" t="s">
        <v>1684</v>
      </c>
      <c r="B644" s="65" t="s">
        <v>1685</v>
      </c>
      <c r="C644" s="65" t="s">
        <v>715</v>
      </c>
      <c r="D644" s="66">
        <v>44316</v>
      </c>
      <c r="E644" s="65" t="s">
        <v>1723</v>
      </c>
      <c r="F644" s="65" t="s">
        <v>246</v>
      </c>
      <c r="G644" s="65" t="s">
        <v>501</v>
      </c>
      <c r="H644" s="67">
        <v>32780</v>
      </c>
    </row>
    <row r="645" spans="1:8" ht="14.25" customHeight="1" x14ac:dyDescent="0.3">
      <c r="A645" s="65" t="s">
        <v>1686</v>
      </c>
      <c r="B645" s="65" t="s">
        <v>1687</v>
      </c>
      <c r="C645" s="65" t="s">
        <v>514</v>
      </c>
      <c r="D645" s="66">
        <v>44329</v>
      </c>
      <c r="E645" s="65" t="s">
        <v>1727</v>
      </c>
      <c r="F645" s="65" t="s">
        <v>246</v>
      </c>
      <c r="G645" s="65" t="s">
        <v>257</v>
      </c>
      <c r="H645" s="67">
        <v>32860</v>
      </c>
    </row>
    <row r="646" spans="1:8" ht="14.25" customHeight="1" x14ac:dyDescent="0.3">
      <c r="A646" s="65" t="s">
        <v>1688</v>
      </c>
      <c r="B646" s="65" t="s">
        <v>1689</v>
      </c>
      <c r="C646" s="65" t="s">
        <v>1247</v>
      </c>
      <c r="D646" s="66">
        <v>44342</v>
      </c>
      <c r="E646" s="65" t="s">
        <v>1723</v>
      </c>
      <c r="F646" s="65" t="s">
        <v>246</v>
      </c>
      <c r="G646" s="65" t="s">
        <v>343</v>
      </c>
      <c r="H646" s="67">
        <v>32940</v>
      </c>
    </row>
    <row r="647" spans="1:8" ht="14.25" customHeight="1" x14ac:dyDescent="0.3">
      <c r="A647" s="65" t="s">
        <v>1690</v>
      </c>
      <c r="B647" s="65" t="s">
        <v>1691</v>
      </c>
      <c r="C647" s="65" t="s">
        <v>611</v>
      </c>
      <c r="D647" s="66">
        <v>44355</v>
      </c>
      <c r="E647" s="65" t="s">
        <v>1725</v>
      </c>
      <c r="F647" s="65" t="s">
        <v>270</v>
      </c>
      <c r="G647" s="65" t="s">
        <v>257</v>
      </c>
      <c r="H647" s="67">
        <v>33020</v>
      </c>
    </row>
    <row r="648" spans="1:8" ht="14.25" customHeight="1" x14ac:dyDescent="0.3">
      <c r="A648" s="65" t="s">
        <v>1692</v>
      </c>
      <c r="B648" s="65" t="s">
        <v>1693</v>
      </c>
      <c r="C648" s="65" t="s">
        <v>733</v>
      </c>
      <c r="D648" s="66">
        <v>44356</v>
      </c>
      <c r="E648" s="65" t="s">
        <v>234</v>
      </c>
      <c r="F648" s="65" t="s">
        <v>236</v>
      </c>
      <c r="G648" s="65" t="s">
        <v>367</v>
      </c>
      <c r="H648" s="67">
        <v>33100</v>
      </c>
    </row>
    <row r="649" spans="1:8" ht="14.25" customHeight="1" x14ac:dyDescent="0.3">
      <c r="A649" s="68" t="s">
        <v>1694</v>
      </c>
      <c r="B649" s="68" t="s">
        <v>1695</v>
      </c>
      <c r="C649" s="68" t="s">
        <v>640</v>
      </c>
      <c r="D649" s="69">
        <v>44357</v>
      </c>
      <c r="E649" s="68" t="s">
        <v>1723</v>
      </c>
      <c r="F649" s="97" t="s">
        <v>1743</v>
      </c>
      <c r="G649" s="98"/>
      <c r="H649" s="70">
        <v>33180</v>
      </c>
    </row>
    <row r="650" spans="1:8" ht="14.25" customHeight="1" x14ac:dyDescent="0.3">
      <c r="H650" s="61"/>
    </row>
    <row r="651" spans="1:8" ht="14.25" customHeight="1" x14ac:dyDescent="0.3">
      <c r="H651" s="61"/>
    </row>
    <row r="652" spans="1:8" ht="14.25" customHeight="1" x14ac:dyDescent="0.3">
      <c r="H652" s="61"/>
    </row>
    <row r="653" spans="1:8" ht="14.25" customHeight="1" x14ac:dyDescent="0.3">
      <c r="H653" s="61"/>
    </row>
    <row r="654" spans="1:8" ht="14.25" customHeight="1" x14ac:dyDescent="0.3">
      <c r="H654" s="61"/>
    </row>
    <row r="655" spans="1:8" ht="14.25" customHeight="1" x14ac:dyDescent="0.3">
      <c r="H655" s="61"/>
    </row>
    <row r="656" spans="1:8" ht="14.25" customHeight="1" x14ac:dyDescent="0.3">
      <c r="H656" s="61"/>
    </row>
    <row r="657" spans="8:8" ht="14.25" customHeight="1" x14ac:dyDescent="0.3">
      <c r="H657" s="61"/>
    </row>
    <row r="658" spans="8:8" ht="14.25" customHeight="1" x14ac:dyDescent="0.3">
      <c r="H658" s="61"/>
    </row>
    <row r="659" spans="8:8" ht="14.25" customHeight="1" x14ac:dyDescent="0.3">
      <c r="H659" s="61"/>
    </row>
    <row r="660" spans="8:8" ht="14.25" customHeight="1" x14ac:dyDescent="0.3">
      <c r="H660" s="61"/>
    </row>
    <row r="661" spans="8:8" ht="14.25" customHeight="1" x14ac:dyDescent="0.3">
      <c r="H661" s="61"/>
    </row>
    <row r="662" spans="8:8" ht="14.25" customHeight="1" x14ac:dyDescent="0.3">
      <c r="H662" s="61"/>
    </row>
    <row r="663" spans="8:8" ht="14.25" customHeight="1" x14ac:dyDescent="0.3">
      <c r="H663" s="61"/>
    </row>
    <row r="664" spans="8:8" ht="14.25" customHeight="1" x14ac:dyDescent="0.3">
      <c r="H664" s="61"/>
    </row>
    <row r="665" spans="8:8" ht="14.25" customHeight="1" x14ac:dyDescent="0.3">
      <c r="H665" s="61"/>
    </row>
    <row r="666" spans="8:8" ht="14.25" customHeight="1" x14ac:dyDescent="0.3">
      <c r="H666" s="61"/>
    </row>
    <row r="667" spans="8:8" ht="14.25" customHeight="1" x14ac:dyDescent="0.3">
      <c r="H667" s="61"/>
    </row>
    <row r="668" spans="8:8" ht="14.25" customHeight="1" x14ac:dyDescent="0.3">
      <c r="H668" s="61"/>
    </row>
    <row r="669" spans="8:8" ht="14.25" customHeight="1" x14ac:dyDescent="0.3">
      <c r="H669" s="61"/>
    </row>
    <row r="670" spans="8:8" ht="14.25" customHeight="1" x14ac:dyDescent="0.3">
      <c r="H670" s="61"/>
    </row>
    <row r="671" spans="8:8" ht="14.25" customHeight="1" x14ac:dyDescent="0.3">
      <c r="H671" s="61"/>
    </row>
    <row r="672" spans="8:8" ht="14.25" customHeight="1" x14ac:dyDescent="0.3">
      <c r="H672" s="61"/>
    </row>
    <row r="673" spans="8:8" ht="14.25" customHeight="1" x14ac:dyDescent="0.3">
      <c r="H673" s="61"/>
    </row>
    <row r="674" spans="8:8" ht="14.25" customHeight="1" x14ac:dyDescent="0.3">
      <c r="H674" s="61"/>
    </row>
    <row r="675" spans="8:8" ht="14.25" customHeight="1" x14ac:dyDescent="0.3">
      <c r="H675" s="61"/>
    </row>
    <row r="676" spans="8:8" ht="14.25" customHeight="1" x14ac:dyDescent="0.3">
      <c r="H676" s="61"/>
    </row>
    <row r="677" spans="8:8" ht="14.25" customHeight="1" x14ac:dyDescent="0.3">
      <c r="H677" s="61"/>
    </row>
    <row r="678" spans="8:8" ht="14.25" customHeight="1" x14ac:dyDescent="0.3">
      <c r="H678" s="61"/>
    </row>
    <row r="679" spans="8:8" ht="14.25" customHeight="1" x14ac:dyDescent="0.3">
      <c r="H679" s="61"/>
    </row>
    <row r="680" spans="8:8" ht="14.25" customHeight="1" x14ac:dyDescent="0.3">
      <c r="H680" s="61"/>
    </row>
    <row r="681" spans="8:8" ht="14.25" customHeight="1" x14ac:dyDescent="0.3">
      <c r="H681" s="61"/>
    </row>
    <row r="682" spans="8:8" ht="14.25" customHeight="1" x14ac:dyDescent="0.3">
      <c r="H682" s="61"/>
    </row>
    <row r="683" spans="8:8" ht="14.25" customHeight="1" x14ac:dyDescent="0.3">
      <c r="H683" s="61"/>
    </row>
    <row r="684" spans="8:8" ht="14.25" customHeight="1" x14ac:dyDescent="0.3">
      <c r="H684" s="61"/>
    </row>
    <row r="685" spans="8:8" ht="14.25" customHeight="1" x14ac:dyDescent="0.3">
      <c r="H685" s="61"/>
    </row>
    <row r="686" spans="8:8" ht="14.25" customHeight="1" x14ac:dyDescent="0.3">
      <c r="H686" s="61"/>
    </row>
    <row r="687" spans="8:8" ht="14.25" customHeight="1" x14ac:dyDescent="0.3">
      <c r="H687" s="61"/>
    </row>
    <row r="688" spans="8:8" ht="14.25" customHeight="1" x14ac:dyDescent="0.3">
      <c r="H688" s="61"/>
    </row>
    <row r="689" spans="8:8" ht="14.25" customHeight="1" x14ac:dyDescent="0.3">
      <c r="H689" s="61"/>
    </row>
    <row r="690" spans="8:8" ht="14.25" customHeight="1" x14ac:dyDescent="0.3">
      <c r="H690" s="61"/>
    </row>
    <row r="691" spans="8:8" ht="14.25" customHeight="1" x14ac:dyDescent="0.3">
      <c r="H691" s="61"/>
    </row>
    <row r="692" spans="8:8" ht="14.25" customHeight="1" x14ac:dyDescent="0.3">
      <c r="H692" s="61"/>
    </row>
    <row r="693" spans="8:8" ht="14.25" customHeight="1" x14ac:dyDescent="0.3">
      <c r="H693" s="61"/>
    </row>
    <row r="694" spans="8:8" ht="14.25" customHeight="1" x14ac:dyDescent="0.3">
      <c r="H694" s="61"/>
    </row>
    <row r="695" spans="8:8" ht="14.25" customHeight="1" x14ac:dyDescent="0.3">
      <c r="H695" s="61"/>
    </row>
    <row r="696" spans="8:8" ht="14.25" customHeight="1" x14ac:dyDescent="0.3">
      <c r="H696" s="61"/>
    </row>
    <row r="697" spans="8:8" ht="14.25" customHeight="1" x14ac:dyDescent="0.3">
      <c r="H697" s="61"/>
    </row>
    <row r="698" spans="8:8" ht="14.25" customHeight="1" x14ac:dyDescent="0.3">
      <c r="H698" s="61"/>
    </row>
    <row r="699" spans="8:8" ht="14.25" customHeight="1" x14ac:dyDescent="0.3">
      <c r="H699" s="61"/>
    </row>
    <row r="700" spans="8:8" ht="14.25" customHeight="1" x14ac:dyDescent="0.3">
      <c r="H700" s="61"/>
    </row>
    <row r="701" spans="8:8" ht="14.25" customHeight="1" x14ac:dyDescent="0.3">
      <c r="H701" s="61"/>
    </row>
    <row r="702" spans="8:8" ht="14.25" customHeight="1" x14ac:dyDescent="0.3">
      <c r="H702" s="61"/>
    </row>
    <row r="703" spans="8:8" ht="14.25" customHeight="1" x14ac:dyDescent="0.3">
      <c r="H703" s="61"/>
    </row>
    <row r="704" spans="8:8" ht="14.25" customHeight="1" x14ac:dyDescent="0.3">
      <c r="H704" s="61"/>
    </row>
    <row r="705" spans="8:8" ht="14.25" customHeight="1" x14ac:dyDescent="0.3">
      <c r="H705" s="61"/>
    </row>
    <row r="706" spans="8:8" ht="14.25" customHeight="1" x14ac:dyDescent="0.3">
      <c r="H706" s="61"/>
    </row>
    <row r="707" spans="8:8" ht="14.25" customHeight="1" x14ac:dyDescent="0.3">
      <c r="H707" s="61"/>
    </row>
    <row r="708" spans="8:8" ht="14.25" customHeight="1" x14ac:dyDescent="0.3">
      <c r="H708" s="61"/>
    </row>
    <row r="709" spans="8:8" ht="14.25" customHeight="1" x14ac:dyDescent="0.3">
      <c r="H709" s="61"/>
    </row>
    <row r="710" spans="8:8" ht="14.25" customHeight="1" x14ac:dyDescent="0.3">
      <c r="H710" s="61"/>
    </row>
    <row r="711" spans="8:8" ht="14.25" customHeight="1" x14ac:dyDescent="0.3">
      <c r="H711" s="61"/>
    </row>
    <row r="712" spans="8:8" ht="14.25" customHeight="1" x14ac:dyDescent="0.3">
      <c r="H712" s="61"/>
    </row>
    <row r="713" spans="8:8" ht="14.25" customHeight="1" x14ac:dyDescent="0.3">
      <c r="H713" s="61"/>
    </row>
    <row r="714" spans="8:8" ht="14.25" customHeight="1" x14ac:dyDescent="0.3">
      <c r="H714" s="61"/>
    </row>
    <row r="715" spans="8:8" ht="14.25" customHeight="1" x14ac:dyDescent="0.3">
      <c r="H715" s="61"/>
    </row>
    <row r="716" spans="8:8" ht="14.25" customHeight="1" x14ac:dyDescent="0.3">
      <c r="H716" s="61"/>
    </row>
    <row r="717" spans="8:8" ht="14.25" customHeight="1" x14ac:dyDescent="0.3">
      <c r="H717" s="61"/>
    </row>
    <row r="718" spans="8:8" ht="14.25" customHeight="1" x14ac:dyDescent="0.3">
      <c r="H718" s="61"/>
    </row>
    <row r="719" spans="8:8" ht="14.25" customHeight="1" x14ac:dyDescent="0.3">
      <c r="H719" s="61"/>
    </row>
    <row r="720" spans="8:8" ht="14.25" customHeight="1" x14ac:dyDescent="0.3">
      <c r="H720" s="61"/>
    </row>
    <row r="721" spans="8:8" ht="14.25" customHeight="1" x14ac:dyDescent="0.3">
      <c r="H721" s="61"/>
    </row>
    <row r="722" spans="8:8" ht="14.25" customHeight="1" x14ac:dyDescent="0.3">
      <c r="H722" s="61"/>
    </row>
    <row r="723" spans="8:8" ht="14.25" customHeight="1" x14ac:dyDescent="0.3">
      <c r="H723" s="61"/>
    </row>
    <row r="724" spans="8:8" ht="14.25" customHeight="1" x14ac:dyDescent="0.3">
      <c r="H724" s="61"/>
    </row>
    <row r="725" spans="8:8" ht="14.25" customHeight="1" x14ac:dyDescent="0.3">
      <c r="H725" s="61"/>
    </row>
    <row r="726" spans="8:8" ht="14.25" customHeight="1" x14ac:dyDescent="0.3">
      <c r="H726" s="61"/>
    </row>
    <row r="727" spans="8:8" ht="14.25" customHeight="1" x14ac:dyDescent="0.3">
      <c r="H727" s="61"/>
    </row>
    <row r="728" spans="8:8" ht="14.25" customHeight="1" x14ac:dyDescent="0.3">
      <c r="H728" s="61"/>
    </row>
    <row r="729" spans="8:8" ht="14.25" customHeight="1" x14ac:dyDescent="0.3">
      <c r="H729" s="61"/>
    </row>
    <row r="730" spans="8:8" ht="14.25" customHeight="1" x14ac:dyDescent="0.3">
      <c r="H730" s="61"/>
    </row>
    <row r="731" spans="8:8" ht="14.25" customHeight="1" x14ac:dyDescent="0.3">
      <c r="H731" s="61"/>
    </row>
    <row r="732" spans="8:8" ht="14.25" customHeight="1" x14ac:dyDescent="0.3">
      <c r="H732" s="61"/>
    </row>
    <row r="733" spans="8:8" ht="14.25" customHeight="1" x14ac:dyDescent="0.3">
      <c r="H733" s="61"/>
    </row>
    <row r="734" spans="8:8" ht="14.25" customHeight="1" x14ac:dyDescent="0.3">
      <c r="H734" s="61"/>
    </row>
    <row r="735" spans="8:8" ht="14.25" customHeight="1" x14ac:dyDescent="0.3">
      <c r="H735" s="61"/>
    </row>
    <row r="736" spans="8:8" ht="14.25" customHeight="1" x14ac:dyDescent="0.3">
      <c r="H736" s="61"/>
    </row>
    <row r="737" spans="8:8" ht="14.25" customHeight="1" x14ac:dyDescent="0.3">
      <c r="H737" s="61"/>
    </row>
    <row r="738" spans="8:8" ht="14.25" customHeight="1" x14ac:dyDescent="0.3">
      <c r="H738" s="61"/>
    </row>
    <row r="739" spans="8:8" ht="14.25" customHeight="1" x14ac:dyDescent="0.3">
      <c r="H739" s="61"/>
    </row>
    <row r="740" spans="8:8" ht="14.25" customHeight="1" x14ac:dyDescent="0.3">
      <c r="H740" s="61"/>
    </row>
    <row r="741" spans="8:8" ht="14.25" customHeight="1" x14ac:dyDescent="0.3">
      <c r="H741" s="61"/>
    </row>
    <row r="742" spans="8:8" ht="14.25" customHeight="1" x14ac:dyDescent="0.3">
      <c r="H742" s="61"/>
    </row>
    <row r="743" spans="8:8" ht="14.25" customHeight="1" x14ac:dyDescent="0.3">
      <c r="H743" s="61"/>
    </row>
    <row r="744" spans="8:8" ht="14.25" customHeight="1" x14ac:dyDescent="0.3">
      <c r="H744" s="61"/>
    </row>
    <row r="745" spans="8:8" ht="14.25" customHeight="1" x14ac:dyDescent="0.3">
      <c r="H745" s="61"/>
    </row>
    <row r="746" spans="8:8" ht="14.25" customHeight="1" x14ac:dyDescent="0.3">
      <c r="H746" s="61"/>
    </row>
    <row r="747" spans="8:8" ht="14.25" customHeight="1" x14ac:dyDescent="0.3">
      <c r="H747" s="61"/>
    </row>
    <row r="748" spans="8:8" ht="14.25" customHeight="1" x14ac:dyDescent="0.3">
      <c r="H748" s="61"/>
    </row>
    <row r="749" spans="8:8" ht="14.25" customHeight="1" x14ac:dyDescent="0.3">
      <c r="H749" s="61"/>
    </row>
    <row r="750" spans="8:8" ht="14.25" customHeight="1" x14ac:dyDescent="0.3">
      <c r="H750" s="61"/>
    </row>
    <row r="751" spans="8:8" ht="14.25" customHeight="1" x14ac:dyDescent="0.3">
      <c r="H751" s="61"/>
    </row>
    <row r="752" spans="8:8" ht="14.25" customHeight="1" x14ac:dyDescent="0.3">
      <c r="H752" s="61"/>
    </row>
    <row r="753" spans="8:8" ht="14.25" customHeight="1" x14ac:dyDescent="0.3">
      <c r="H753" s="61"/>
    </row>
    <row r="754" spans="8:8" ht="14.25" customHeight="1" x14ac:dyDescent="0.3">
      <c r="H754" s="61"/>
    </row>
    <row r="755" spans="8:8" ht="14.25" customHeight="1" x14ac:dyDescent="0.3">
      <c r="H755" s="61"/>
    </row>
    <row r="756" spans="8:8" ht="14.25" customHeight="1" x14ac:dyDescent="0.3">
      <c r="H756" s="61"/>
    </row>
    <row r="757" spans="8:8" ht="14.25" customHeight="1" x14ac:dyDescent="0.3">
      <c r="H757" s="61"/>
    </row>
    <row r="758" spans="8:8" ht="14.25" customHeight="1" x14ac:dyDescent="0.3">
      <c r="H758" s="61"/>
    </row>
    <row r="759" spans="8:8" ht="14.25" customHeight="1" x14ac:dyDescent="0.3">
      <c r="H759" s="61"/>
    </row>
    <row r="760" spans="8:8" ht="14.25" customHeight="1" x14ac:dyDescent="0.3">
      <c r="H760" s="61"/>
    </row>
    <row r="761" spans="8:8" ht="14.25" customHeight="1" x14ac:dyDescent="0.3">
      <c r="H761" s="61"/>
    </row>
    <row r="762" spans="8:8" ht="14.25" customHeight="1" x14ac:dyDescent="0.3">
      <c r="H762" s="61"/>
    </row>
    <row r="763" spans="8:8" ht="14.25" customHeight="1" x14ac:dyDescent="0.3">
      <c r="H763" s="61"/>
    </row>
    <row r="764" spans="8:8" ht="14.25" customHeight="1" x14ac:dyDescent="0.3">
      <c r="H764" s="61"/>
    </row>
    <row r="765" spans="8:8" ht="14.25" customHeight="1" x14ac:dyDescent="0.3">
      <c r="H765" s="61"/>
    </row>
    <row r="766" spans="8:8" ht="14.25" customHeight="1" x14ac:dyDescent="0.3">
      <c r="H766" s="61"/>
    </row>
    <row r="767" spans="8:8" ht="14.25" customHeight="1" x14ac:dyDescent="0.3">
      <c r="H767" s="61"/>
    </row>
    <row r="768" spans="8:8" ht="14.25" customHeight="1" x14ac:dyDescent="0.3">
      <c r="H768" s="61"/>
    </row>
    <row r="769" spans="8:8" ht="14.25" customHeight="1" x14ac:dyDescent="0.3">
      <c r="H769" s="61"/>
    </row>
    <row r="770" spans="8:8" ht="14.25" customHeight="1" x14ac:dyDescent="0.3">
      <c r="H770" s="61"/>
    </row>
    <row r="771" spans="8:8" ht="14.25" customHeight="1" x14ac:dyDescent="0.3">
      <c r="H771" s="61"/>
    </row>
    <row r="772" spans="8:8" ht="14.25" customHeight="1" x14ac:dyDescent="0.3">
      <c r="H772" s="61"/>
    </row>
    <row r="773" spans="8:8" ht="14.25" customHeight="1" x14ac:dyDescent="0.3">
      <c r="H773" s="61"/>
    </row>
    <row r="774" spans="8:8" ht="14.25" customHeight="1" x14ac:dyDescent="0.3">
      <c r="H774" s="61"/>
    </row>
    <row r="775" spans="8:8" ht="14.25" customHeight="1" x14ac:dyDescent="0.3">
      <c r="H775" s="61"/>
    </row>
    <row r="776" spans="8:8" ht="14.25" customHeight="1" x14ac:dyDescent="0.3">
      <c r="H776" s="61"/>
    </row>
    <row r="777" spans="8:8" ht="14.25" customHeight="1" x14ac:dyDescent="0.3">
      <c r="H777" s="61"/>
    </row>
    <row r="778" spans="8:8" ht="14.25" customHeight="1" x14ac:dyDescent="0.3">
      <c r="H778" s="61"/>
    </row>
    <row r="779" spans="8:8" ht="14.25" customHeight="1" x14ac:dyDescent="0.3">
      <c r="H779" s="61"/>
    </row>
    <row r="780" spans="8:8" ht="14.25" customHeight="1" x14ac:dyDescent="0.3">
      <c r="H780" s="61"/>
    </row>
    <row r="781" spans="8:8" ht="14.25" customHeight="1" x14ac:dyDescent="0.3">
      <c r="H781" s="61"/>
    </row>
    <row r="782" spans="8:8" ht="14.25" customHeight="1" x14ac:dyDescent="0.3">
      <c r="H782" s="61"/>
    </row>
    <row r="783" spans="8:8" ht="14.25" customHeight="1" x14ac:dyDescent="0.3">
      <c r="H783" s="61"/>
    </row>
    <row r="784" spans="8:8" ht="14.25" customHeight="1" x14ac:dyDescent="0.3">
      <c r="H784" s="61"/>
    </row>
    <row r="785" spans="8:8" ht="14.25" customHeight="1" x14ac:dyDescent="0.3">
      <c r="H785" s="61"/>
    </row>
    <row r="786" spans="8:8" ht="14.25" customHeight="1" x14ac:dyDescent="0.3">
      <c r="H786" s="61"/>
    </row>
    <row r="787" spans="8:8" ht="14.25" customHeight="1" x14ac:dyDescent="0.3">
      <c r="H787" s="61"/>
    </row>
    <row r="788" spans="8:8" ht="14.25" customHeight="1" x14ac:dyDescent="0.3">
      <c r="H788" s="61"/>
    </row>
    <row r="789" spans="8:8" ht="14.25" customHeight="1" x14ac:dyDescent="0.3">
      <c r="H789" s="61"/>
    </row>
    <row r="790" spans="8:8" ht="14.25" customHeight="1" x14ac:dyDescent="0.3">
      <c r="H790" s="61"/>
    </row>
    <row r="791" spans="8:8" ht="14.25" customHeight="1" x14ac:dyDescent="0.3">
      <c r="H791" s="61"/>
    </row>
    <row r="792" spans="8:8" ht="14.25" customHeight="1" x14ac:dyDescent="0.3">
      <c r="H792" s="61"/>
    </row>
    <row r="793" spans="8:8" ht="14.25" customHeight="1" x14ac:dyDescent="0.3">
      <c r="H793" s="61"/>
    </row>
    <row r="794" spans="8:8" ht="14.25" customHeight="1" x14ac:dyDescent="0.3">
      <c r="H794" s="61"/>
    </row>
    <row r="795" spans="8:8" ht="14.25" customHeight="1" x14ac:dyDescent="0.3">
      <c r="H795" s="61"/>
    </row>
    <row r="796" spans="8:8" ht="14.25" customHeight="1" x14ac:dyDescent="0.3">
      <c r="H796" s="61"/>
    </row>
    <row r="797" spans="8:8" ht="14.25" customHeight="1" x14ac:dyDescent="0.3">
      <c r="H797" s="61"/>
    </row>
    <row r="798" spans="8:8" ht="14.25" customHeight="1" x14ac:dyDescent="0.3">
      <c r="H798" s="61"/>
    </row>
    <row r="799" spans="8:8" ht="14.25" customHeight="1" x14ac:dyDescent="0.3">
      <c r="H799" s="61"/>
    </row>
    <row r="800" spans="8:8" ht="14.25" customHeight="1" x14ac:dyDescent="0.3">
      <c r="H800" s="61"/>
    </row>
    <row r="801" spans="8:8" ht="14.25" customHeight="1" x14ac:dyDescent="0.3">
      <c r="H801" s="61"/>
    </row>
    <row r="802" spans="8:8" ht="14.25" customHeight="1" x14ac:dyDescent="0.3">
      <c r="H802" s="61"/>
    </row>
    <row r="803" spans="8:8" ht="14.25" customHeight="1" x14ac:dyDescent="0.3">
      <c r="H803" s="61"/>
    </row>
    <row r="804" spans="8:8" ht="14.25" customHeight="1" x14ac:dyDescent="0.3">
      <c r="H804" s="61"/>
    </row>
    <row r="805" spans="8:8" ht="14.25" customHeight="1" x14ac:dyDescent="0.3">
      <c r="H805" s="61"/>
    </row>
    <row r="806" spans="8:8" ht="14.25" customHeight="1" x14ac:dyDescent="0.3">
      <c r="H806" s="61"/>
    </row>
    <row r="807" spans="8:8" ht="14.25" customHeight="1" x14ac:dyDescent="0.3">
      <c r="H807" s="61"/>
    </row>
    <row r="808" spans="8:8" ht="14.25" customHeight="1" x14ac:dyDescent="0.3">
      <c r="H808" s="61"/>
    </row>
    <row r="809" spans="8:8" ht="14.25" customHeight="1" x14ac:dyDescent="0.3">
      <c r="H809" s="61"/>
    </row>
    <row r="810" spans="8:8" ht="14.25" customHeight="1" x14ac:dyDescent="0.3">
      <c r="H810" s="61"/>
    </row>
    <row r="811" spans="8:8" ht="14.25" customHeight="1" x14ac:dyDescent="0.3">
      <c r="H811" s="61"/>
    </row>
    <row r="812" spans="8:8" ht="14.25" customHeight="1" x14ac:dyDescent="0.3">
      <c r="H812" s="61"/>
    </row>
    <row r="813" spans="8:8" ht="14.25" customHeight="1" x14ac:dyDescent="0.3">
      <c r="H813" s="61"/>
    </row>
    <row r="814" spans="8:8" ht="14.25" customHeight="1" x14ac:dyDescent="0.3">
      <c r="H814" s="61"/>
    </row>
    <row r="815" spans="8:8" ht="14.25" customHeight="1" x14ac:dyDescent="0.3">
      <c r="H815" s="61"/>
    </row>
    <row r="816" spans="8:8" ht="14.25" customHeight="1" x14ac:dyDescent="0.3">
      <c r="H816" s="61"/>
    </row>
    <row r="817" spans="8:8" ht="14.25" customHeight="1" x14ac:dyDescent="0.3">
      <c r="H817" s="61"/>
    </row>
    <row r="818" spans="8:8" ht="14.25" customHeight="1" x14ac:dyDescent="0.3">
      <c r="H818" s="61"/>
    </row>
    <row r="819" spans="8:8" ht="14.25" customHeight="1" x14ac:dyDescent="0.3">
      <c r="H819" s="61"/>
    </row>
    <row r="820" spans="8:8" ht="14.25" customHeight="1" x14ac:dyDescent="0.3">
      <c r="H820" s="61"/>
    </row>
    <row r="821" spans="8:8" ht="14.25" customHeight="1" x14ac:dyDescent="0.3">
      <c r="H821" s="61"/>
    </row>
    <row r="822" spans="8:8" ht="14.25" customHeight="1" x14ac:dyDescent="0.3">
      <c r="H822" s="61"/>
    </row>
    <row r="823" spans="8:8" ht="14.25" customHeight="1" x14ac:dyDescent="0.3">
      <c r="H823" s="61"/>
    </row>
    <row r="824" spans="8:8" ht="14.25" customHeight="1" x14ac:dyDescent="0.3">
      <c r="H824" s="61"/>
    </row>
    <row r="825" spans="8:8" ht="14.25" customHeight="1" x14ac:dyDescent="0.3">
      <c r="H825" s="61"/>
    </row>
    <row r="826" spans="8:8" ht="14.25" customHeight="1" x14ac:dyDescent="0.3">
      <c r="H826" s="61"/>
    </row>
    <row r="827" spans="8:8" ht="14.25" customHeight="1" x14ac:dyDescent="0.3">
      <c r="H827" s="61"/>
    </row>
    <row r="828" spans="8:8" ht="14.25" customHeight="1" x14ac:dyDescent="0.3">
      <c r="H828" s="61"/>
    </row>
    <row r="829" spans="8:8" ht="14.25" customHeight="1" x14ac:dyDescent="0.3">
      <c r="H829" s="61"/>
    </row>
    <row r="830" spans="8:8" ht="14.25" customHeight="1" x14ac:dyDescent="0.3">
      <c r="H830" s="61"/>
    </row>
    <row r="831" spans="8:8" ht="14.25" customHeight="1" x14ac:dyDescent="0.3">
      <c r="H831" s="61"/>
    </row>
    <row r="832" spans="8:8" ht="14.25" customHeight="1" x14ac:dyDescent="0.3">
      <c r="H832" s="61"/>
    </row>
    <row r="833" spans="8:8" ht="14.25" customHeight="1" x14ac:dyDescent="0.3">
      <c r="H833" s="61"/>
    </row>
    <row r="834" spans="8:8" ht="14.25" customHeight="1" x14ac:dyDescent="0.3">
      <c r="H834" s="61"/>
    </row>
    <row r="835" spans="8:8" ht="14.25" customHeight="1" x14ac:dyDescent="0.3">
      <c r="H835" s="61"/>
    </row>
    <row r="836" spans="8:8" ht="14.25" customHeight="1" x14ac:dyDescent="0.3">
      <c r="H836" s="61"/>
    </row>
    <row r="837" spans="8:8" ht="14.25" customHeight="1" x14ac:dyDescent="0.3">
      <c r="H837" s="61"/>
    </row>
    <row r="838" spans="8:8" ht="14.25" customHeight="1" x14ac:dyDescent="0.3">
      <c r="H838" s="61"/>
    </row>
    <row r="839" spans="8:8" ht="14.25" customHeight="1" x14ac:dyDescent="0.3">
      <c r="H839" s="61"/>
    </row>
    <row r="840" spans="8:8" ht="14.25" customHeight="1" x14ac:dyDescent="0.3">
      <c r="H840" s="61"/>
    </row>
    <row r="841" spans="8:8" ht="14.25" customHeight="1" x14ac:dyDescent="0.3">
      <c r="H841" s="61"/>
    </row>
    <row r="842" spans="8:8" ht="14.25" customHeight="1" x14ac:dyDescent="0.3">
      <c r="H842" s="61"/>
    </row>
    <row r="843" spans="8:8" ht="14.25" customHeight="1" x14ac:dyDescent="0.3">
      <c r="H843" s="61"/>
    </row>
    <row r="844" spans="8:8" ht="14.25" customHeight="1" x14ac:dyDescent="0.3">
      <c r="H844" s="61"/>
    </row>
    <row r="845" spans="8:8" ht="14.25" customHeight="1" x14ac:dyDescent="0.3">
      <c r="H845" s="61"/>
    </row>
    <row r="846" spans="8:8" ht="14.25" customHeight="1" x14ac:dyDescent="0.3">
      <c r="H846" s="61"/>
    </row>
    <row r="847" spans="8:8" ht="14.25" customHeight="1" x14ac:dyDescent="0.3">
      <c r="H847" s="61"/>
    </row>
    <row r="848" spans="8:8" ht="14.25" customHeight="1" x14ac:dyDescent="0.3">
      <c r="H848" s="61"/>
    </row>
    <row r="849" spans="8:8" ht="14.25" customHeight="1" x14ac:dyDescent="0.3">
      <c r="H849" s="61"/>
    </row>
    <row r="850" spans="8:8" ht="14.25" customHeight="1" x14ac:dyDescent="0.3">
      <c r="H850" s="61"/>
    </row>
    <row r="851" spans="8:8" ht="14.25" customHeight="1" x14ac:dyDescent="0.3">
      <c r="H851" s="61"/>
    </row>
    <row r="852" spans="8:8" ht="14.25" customHeight="1" x14ac:dyDescent="0.3">
      <c r="H852" s="61"/>
    </row>
    <row r="853" spans="8:8" ht="14.25" customHeight="1" x14ac:dyDescent="0.3">
      <c r="H853" s="61"/>
    </row>
    <row r="854" spans="8:8" ht="14.25" customHeight="1" x14ac:dyDescent="0.3">
      <c r="H854" s="61"/>
    </row>
    <row r="855" spans="8:8" ht="14.25" customHeight="1" x14ac:dyDescent="0.3">
      <c r="H855" s="61"/>
    </row>
    <row r="856" spans="8:8" ht="14.25" customHeight="1" x14ac:dyDescent="0.3">
      <c r="H856" s="61"/>
    </row>
    <row r="857" spans="8:8" ht="14.25" customHeight="1" x14ac:dyDescent="0.3">
      <c r="H857" s="61"/>
    </row>
    <row r="858" spans="8:8" ht="14.25" customHeight="1" x14ac:dyDescent="0.3">
      <c r="H858" s="61"/>
    </row>
    <row r="859" spans="8:8" ht="14.25" customHeight="1" x14ac:dyDescent="0.3">
      <c r="H859" s="61"/>
    </row>
    <row r="860" spans="8:8" ht="14.25" customHeight="1" x14ac:dyDescent="0.3">
      <c r="H860" s="61"/>
    </row>
    <row r="861" spans="8:8" ht="14.25" customHeight="1" x14ac:dyDescent="0.3">
      <c r="H861" s="61"/>
    </row>
    <row r="862" spans="8:8" ht="14.25" customHeight="1" x14ac:dyDescent="0.3">
      <c r="H862" s="61"/>
    </row>
    <row r="863" spans="8:8" ht="14.25" customHeight="1" x14ac:dyDescent="0.3">
      <c r="H863" s="61"/>
    </row>
    <row r="864" spans="8:8" ht="14.25" customHeight="1" x14ac:dyDescent="0.3">
      <c r="H864" s="61"/>
    </row>
    <row r="865" spans="8:8" ht="14.25" customHeight="1" x14ac:dyDescent="0.3">
      <c r="H865" s="61"/>
    </row>
    <row r="866" spans="8:8" ht="14.25" customHeight="1" x14ac:dyDescent="0.3">
      <c r="H866" s="61"/>
    </row>
    <row r="867" spans="8:8" ht="14.25" customHeight="1" x14ac:dyDescent="0.3">
      <c r="H867" s="61"/>
    </row>
    <row r="868" spans="8:8" ht="14.25" customHeight="1" x14ac:dyDescent="0.3">
      <c r="H868" s="61"/>
    </row>
    <row r="869" spans="8:8" ht="14.25" customHeight="1" x14ac:dyDescent="0.3">
      <c r="H869" s="61"/>
    </row>
    <row r="870" spans="8:8" ht="14.25" customHeight="1" x14ac:dyDescent="0.3">
      <c r="H870" s="61"/>
    </row>
    <row r="871" spans="8:8" ht="14.25" customHeight="1" x14ac:dyDescent="0.3">
      <c r="H871" s="61"/>
    </row>
    <row r="872" spans="8:8" ht="14.25" customHeight="1" x14ac:dyDescent="0.3">
      <c r="H872" s="61"/>
    </row>
    <row r="873" spans="8:8" ht="14.25" customHeight="1" x14ac:dyDescent="0.3">
      <c r="H873" s="61"/>
    </row>
    <row r="874" spans="8:8" ht="14.25" customHeight="1" x14ac:dyDescent="0.3">
      <c r="H874" s="61"/>
    </row>
    <row r="875" spans="8:8" ht="14.25" customHeight="1" x14ac:dyDescent="0.3">
      <c r="H875" s="61"/>
    </row>
    <row r="876" spans="8:8" ht="14.25" customHeight="1" x14ac:dyDescent="0.3">
      <c r="H876" s="61"/>
    </row>
    <row r="877" spans="8:8" ht="14.25" customHeight="1" x14ac:dyDescent="0.3">
      <c r="H877" s="61"/>
    </row>
    <row r="878" spans="8:8" ht="14.25" customHeight="1" x14ac:dyDescent="0.3">
      <c r="H878" s="61"/>
    </row>
    <row r="879" spans="8:8" ht="14.25" customHeight="1" x14ac:dyDescent="0.3">
      <c r="H879" s="61"/>
    </row>
    <row r="880" spans="8:8" ht="14.25" customHeight="1" x14ac:dyDescent="0.3">
      <c r="H880" s="61"/>
    </row>
    <row r="881" spans="8:8" ht="14.25" customHeight="1" x14ac:dyDescent="0.3">
      <c r="H881" s="61"/>
    </row>
    <row r="882" spans="8:8" ht="14.25" customHeight="1" x14ac:dyDescent="0.3">
      <c r="H882" s="61"/>
    </row>
    <row r="883" spans="8:8" ht="14.25" customHeight="1" x14ac:dyDescent="0.3">
      <c r="H883" s="61"/>
    </row>
    <row r="884" spans="8:8" ht="14.25" customHeight="1" x14ac:dyDescent="0.3">
      <c r="H884" s="61"/>
    </row>
    <row r="885" spans="8:8" ht="14.25" customHeight="1" x14ac:dyDescent="0.3">
      <c r="H885" s="61"/>
    </row>
    <row r="886" spans="8:8" ht="14.25" customHeight="1" x14ac:dyDescent="0.3">
      <c r="H886" s="61"/>
    </row>
    <row r="887" spans="8:8" ht="14.25" customHeight="1" x14ac:dyDescent="0.3">
      <c r="H887" s="61"/>
    </row>
    <row r="888" spans="8:8" ht="14.25" customHeight="1" x14ac:dyDescent="0.3">
      <c r="H888" s="61"/>
    </row>
    <row r="889" spans="8:8" ht="14.25" customHeight="1" x14ac:dyDescent="0.3">
      <c r="H889" s="61"/>
    </row>
    <row r="890" spans="8:8" ht="14.25" customHeight="1" x14ac:dyDescent="0.3">
      <c r="H890" s="61"/>
    </row>
    <row r="891" spans="8:8" ht="14.25" customHeight="1" x14ac:dyDescent="0.3">
      <c r="H891" s="61"/>
    </row>
    <row r="892" spans="8:8" ht="14.25" customHeight="1" x14ac:dyDescent="0.3">
      <c r="H892" s="61"/>
    </row>
    <row r="893" spans="8:8" ht="14.25" customHeight="1" x14ac:dyDescent="0.3">
      <c r="H893" s="61"/>
    </row>
    <row r="894" spans="8:8" ht="14.25" customHeight="1" x14ac:dyDescent="0.3">
      <c r="H894" s="61"/>
    </row>
    <row r="895" spans="8:8" ht="14.25" customHeight="1" x14ac:dyDescent="0.3">
      <c r="H895" s="61"/>
    </row>
    <row r="896" spans="8:8" ht="14.25" customHeight="1" x14ac:dyDescent="0.3">
      <c r="H896" s="61"/>
    </row>
    <row r="897" spans="8:8" ht="14.25" customHeight="1" x14ac:dyDescent="0.3">
      <c r="H897" s="61"/>
    </row>
    <row r="898" spans="8:8" ht="14.25" customHeight="1" x14ac:dyDescent="0.3">
      <c r="H898" s="61"/>
    </row>
    <row r="899" spans="8:8" ht="14.25" customHeight="1" x14ac:dyDescent="0.3">
      <c r="H899" s="61"/>
    </row>
    <row r="900" spans="8:8" ht="14.25" customHeight="1" x14ac:dyDescent="0.3">
      <c r="H900" s="61"/>
    </row>
    <row r="901" spans="8:8" ht="14.25" customHeight="1" x14ac:dyDescent="0.3">
      <c r="H901" s="61"/>
    </row>
    <row r="902" spans="8:8" ht="14.25" customHeight="1" x14ac:dyDescent="0.3">
      <c r="H902" s="61"/>
    </row>
    <row r="903" spans="8:8" ht="14.25" customHeight="1" x14ac:dyDescent="0.3">
      <c r="H903" s="61"/>
    </row>
    <row r="904" spans="8:8" ht="14.25" customHeight="1" x14ac:dyDescent="0.3">
      <c r="H904" s="61"/>
    </row>
    <row r="905" spans="8:8" ht="14.25" customHeight="1" x14ac:dyDescent="0.3">
      <c r="H905" s="61"/>
    </row>
    <row r="906" spans="8:8" ht="14.25" customHeight="1" x14ac:dyDescent="0.3">
      <c r="H906" s="61"/>
    </row>
    <row r="907" spans="8:8" ht="14.25" customHeight="1" x14ac:dyDescent="0.3">
      <c r="H907" s="61"/>
    </row>
    <row r="908" spans="8:8" ht="14.25" customHeight="1" x14ac:dyDescent="0.3">
      <c r="H908" s="61"/>
    </row>
    <row r="909" spans="8:8" ht="14.25" customHeight="1" x14ac:dyDescent="0.3">
      <c r="H909" s="61"/>
    </row>
    <row r="910" spans="8:8" ht="14.25" customHeight="1" x14ac:dyDescent="0.3">
      <c r="H910" s="61"/>
    </row>
    <row r="911" spans="8:8" ht="14.25" customHeight="1" x14ac:dyDescent="0.3">
      <c r="H911" s="61"/>
    </row>
    <row r="912" spans="8:8" ht="14.25" customHeight="1" x14ac:dyDescent="0.3">
      <c r="H912" s="61"/>
    </row>
    <row r="913" spans="8:8" ht="14.25" customHeight="1" x14ac:dyDescent="0.3">
      <c r="H913" s="61"/>
    </row>
    <row r="914" spans="8:8" ht="14.25" customHeight="1" x14ac:dyDescent="0.3">
      <c r="H914" s="61"/>
    </row>
    <row r="915" spans="8:8" ht="14.25" customHeight="1" x14ac:dyDescent="0.3">
      <c r="H915" s="61"/>
    </row>
    <row r="916" spans="8:8" ht="14.25" customHeight="1" x14ac:dyDescent="0.3">
      <c r="H916" s="61"/>
    </row>
    <row r="917" spans="8:8" ht="14.25" customHeight="1" x14ac:dyDescent="0.3">
      <c r="H917" s="61"/>
    </row>
    <row r="918" spans="8:8" ht="14.25" customHeight="1" x14ac:dyDescent="0.3">
      <c r="H918" s="61"/>
    </row>
    <row r="919" spans="8:8" ht="14.25" customHeight="1" x14ac:dyDescent="0.3">
      <c r="H919" s="61"/>
    </row>
    <row r="920" spans="8:8" ht="14.25" customHeight="1" x14ac:dyDescent="0.3">
      <c r="H920" s="61"/>
    </row>
    <row r="921" spans="8:8" ht="14.25" customHeight="1" x14ac:dyDescent="0.3">
      <c r="H921" s="61"/>
    </row>
    <row r="922" spans="8:8" ht="14.25" customHeight="1" x14ac:dyDescent="0.3">
      <c r="H922" s="61"/>
    </row>
    <row r="923" spans="8:8" ht="14.25" customHeight="1" x14ac:dyDescent="0.3">
      <c r="H923" s="61"/>
    </row>
    <row r="924" spans="8:8" ht="14.25" customHeight="1" x14ac:dyDescent="0.3">
      <c r="H924" s="61"/>
    </row>
    <row r="925" spans="8:8" ht="14.25" customHeight="1" x14ac:dyDescent="0.3">
      <c r="H925" s="61"/>
    </row>
    <row r="926" spans="8:8" ht="14.25" customHeight="1" x14ac:dyDescent="0.3">
      <c r="H926" s="61"/>
    </row>
    <row r="927" spans="8:8" ht="14.25" customHeight="1" x14ac:dyDescent="0.3">
      <c r="H927" s="61"/>
    </row>
    <row r="928" spans="8:8" ht="14.25" customHeight="1" x14ac:dyDescent="0.3">
      <c r="H928" s="61"/>
    </row>
    <row r="929" spans="8:8" ht="14.25" customHeight="1" x14ac:dyDescent="0.3">
      <c r="H929" s="61"/>
    </row>
    <row r="930" spans="8:8" ht="14.25" customHeight="1" x14ac:dyDescent="0.3">
      <c r="H930" s="61"/>
    </row>
    <row r="931" spans="8:8" ht="14.25" customHeight="1" x14ac:dyDescent="0.3">
      <c r="H931" s="61"/>
    </row>
    <row r="932" spans="8:8" ht="14.25" customHeight="1" x14ac:dyDescent="0.3">
      <c r="H932" s="61"/>
    </row>
    <row r="933" spans="8:8" ht="14.25" customHeight="1" x14ac:dyDescent="0.3">
      <c r="H933" s="61"/>
    </row>
    <row r="934" spans="8:8" ht="14.25" customHeight="1" x14ac:dyDescent="0.3">
      <c r="H934" s="61"/>
    </row>
    <row r="935" spans="8:8" ht="14.25" customHeight="1" x14ac:dyDescent="0.3">
      <c r="H935" s="61"/>
    </row>
    <row r="936" spans="8:8" ht="14.25" customHeight="1" x14ac:dyDescent="0.3">
      <c r="H936" s="61"/>
    </row>
    <row r="937" spans="8:8" ht="14.25" customHeight="1" x14ac:dyDescent="0.3">
      <c r="H937" s="61"/>
    </row>
    <row r="938" spans="8:8" ht="14.25" customHeight="1" x14ac:dyDescent="0.3">
      <c r="H938" s="61"/>
    </row>
    <row r="939" spans="8:8" ht="14.25" customHeight="1" x14ac:dyDescent="0.3">
      <c r="H939" s="61"/>
    </row>
    <row r="940" spans="8:8" ht="14.25" customHeight="1" x14ac:dyDescent="0.3">
      <c r="H940" s="61"/>
    </row>
    <row r="941" spans="8:8" ht="14.25" customHeight="1" x14ac:dyDescent="0.3">
      <c r="H941" s="61"/>
    </row>
    <row r="942" spans="8:8" ht="14.25" customHeight="1" x14ac:dyDescent="0.3">
      <c r="H942" s="61"/>
    </row>
    <row r="943" spans="8:8" ht="14.25" customHeight="1" x14ac:dyDescent="0.3">
      <c r="H943" s="61"/>
    </row>
    <row r="944" spans="8:8" ht="14.25" customHeight="1" x14ac:dyDescent="0.3">
      <c r="H944" s="61"/>
    </row>
    <row r="945" spans="8:8" ht="14.25" customHeight="1" x14ac:dyDescent="0.3">
      <c r="H945" s="61"/>
    </row>
    <row r="946" spans="8:8" ht="14.25" customHeight="1" x14ac:dyDescent="0.3">
      <c r="H946" s="61"/>
    </row>
    <row r="947" spans="8:8" ht="14.25" customHeight="1" x14ac:dyDescent="0.3">
      <c r="H947" s="61"/>
    </row>
    <row r="948" spans="8:8" ht="14.25" customHeight="1" x14ac:dyDescent="0.3">
      <c r="H948" s="61"/>
    </row>
    <row r="949" spans="8:8" ht="14.25" customHeight="1" x14ac:dyDescent="0.3">
      <c r="H949" s="61"/>
    </row>
    <row r="950" spans="8:8" ht="14.25" customHeight="1" x14ac:dyDescent="0.3">
      <c r="H950" s="61"/>
    </row>
    <row r="951" spans="8:8" ht="14.25" customHeight="1" x14ac:dyDescent="0.3">
      <c r="H951" s="61"/>
    </row>
    <row r="952" spans="8:8" ht="14.25" customHeight="1" x14ac:dyDescent="0.3">
      <c r="H952" s="61"/>
    </row>
    <row r="953" spans="8:8" ht="14.25" customHeight="1" x14ac:dyDescent="0.3">
      <c r="H953" s="61"/>
    </row>
    <row r="954" spans="8:8" ht="14.25" customHeight="1" x14ac:dyDescent="0.3">
      <c r="H954" s="61"/>
    </row>
    <row r="955" spans="8:8" ht="14.25" customHeight="1" x14ac:dyDescent="0.3">
      <c r="H955" s="61"/>
    </row>
    <row r="956" spans="8:8" ht="14.25" customHeight="1" x14ac:dyDescent="0.3">
      <c r="H956" s="61"/>
    </row>
    <row r="957" spans="8:8" ht="14.25" customHeight="1" x14ac:dyDescent="0.3">
      <c r="H957" s="61"/>
    </row>
    <row r="958" spans="8:8" ht="14.25" customHeight="1" x14ac:dyDescent="0.3">
      <c r="H958" s="61"/>
    </row>
    <row r="959" spans="8:8" ht="14.25" customHeight="1" x14ac:dyDescent="0.3">
      <c r="H959" s="61"/>
    </row>
    <row r="960" spans="8:8" ht="14.25" customHeight="1" x14ac:dyDescent="0.3">
      <c r="H960" s="61"/>
    </row>
    <row r="961" spans="8:8" ht="14.25" customHeight="1" x14ac:dyDescent="0.3">
      <c r="H961" s="61"/>
    </row>
    <row r="962" spans="8:8" ht="14.25" customHeight="1" x14ac:dyDescent="0.3">
      <c r="H962" s="61"/>
    </row>
    <row r="963" spans="8:8" ht="14.25" customHeight="1" x14ac:dyDescent="0.3">
      <c r="H963" s="61"/>
    </row>
    <row r="964" spans="8:8" ht="14.25" customHeight="1" x14ac:dyDescent="0.3">
      <c r="H964" s="61"/>
    </row>
    <row r="965" spans="8:8" ht="14.25" customHeight="1" x14ac:dyDescent="0.3">
      <c r="H965" s="61"/>
    </row>
    <row r="966" spans="8:8" ht="14.25" customHeight="1" x14ac:dyDescent="0.3">
      <c r="H966" s="61"/>
    </row>
    <row r="967" spans="8:8" ht="14.25" customHeight="1" x14ac:dyDescent="0.3">
      <c r="H967" s="61"/>
    </row>
    <row r="968" spans="8:8" ht="14.25" customHeight="1" x14ac:dyDescent="0.3">
      <c r="H968" s="61"/>
    </row>
    <row r="969" spans="8:8" ht="14.25" customHeight="1" x14ac:dyDescent="0.3">
      <c r="H969" s="61"/>
    </row>
    <row r="970" spans="8:8" ht="14.25" customHeight="1" x14ac:dyDescent="0.3">
      <c r="H970" s="61"/>
    </row>
    <row r="971" spans="8:8" ht="14.25" customHeight="1" x14ac:dyDescent="0.3">
      <c r="H971" s="61"/>
    </row>
    <row r="972" spans="8:8" ht="14.25" customHeight="1" x14ac:dyDescent="0.3">
      <c r="H972" s="61"/>
    </row>
    <row r="973" spans="8:8" ht="14.25" customHeight="1" x14ac:dyDescent="0.3">
      <c r="H973" s="61"/>
    </row>
    <row r="974" spans="8:8" ht="14.25" customHeight="1" x14ac:dyDescent="0.3">
      <c r="H974" s="61"/>
    </row>
    <row r="975" spans="8:8" ht="14.25" customHeight="1" x14ac:dyDescent="0.3">
      <c r="H975" s="61"/>
    </row>
    <row r="976" spans="8:8" ht="14.25" customHeight="1" x14ac:dyDescent="0.3">
      <c r="H976" s="61"/>
    </row>
    <row r="977" spans="8:8" ht="14.25" customHeight="1" x14ac:dyDescent="0.3">
      <c r="H977" s="61"/>
    </row>
    <row r="978" spans="8:8" ht="14.25" customHeight="1" x14ac:dyDescent="0.3">
      <c r="H978" s="61"/>
    </row>
    <row r="979" spans="8:8" ht="14.25" customHeight="1" x14ac:dyDescent="0.3">
      <c r="H979" s="61"/>
    </row>
    <row r="980" spans="8:8" ht="14.25" customHeight="1" x14ac:dyDescent="0.3">
      <c r="H980" s="61"/>
    </row>
    <row r="981" spans="8:8" ht="14.25" customHeight="1" x14ac:dyDescent="0.3">
      <c r="H981" s="61"/>
    </row>
    <row r="982" spans="8:8" ht="14.25" customHeight="1" x14ac:dyDescent="0.3">
      <c r="H982" s="61"/>
    </row>
    <row r="983" spans="8:8" ht="14.25" customHeight="1" x14ac:dyDescent="0.3">
      <c r="H983" s="61"/>
    </row>
    <row r="984" spans="8:8" ht="14.25" customHeight="1" x14ac:dyDescent="0.3">
      <c r="H984" s="61"/>
    </row>
    <row r="985" spans="8:8" ht="14.25" customHeight="1" x14ac:dyDescent="0.3">
      <c r="H985" s="61"/>
    </row>
    <row r="986" spans="8:8" ht="14.25" customHeight="1" x14ac:dyDescent="0.3">
      <c r="H986" s="61"/>
    </row>
    <row r="987" spans="8:8" ht="14.25" customHeight="1" x14ac:dyDescent="0.3">
      <c r="H987" s="61"/>
    </row>
    <row r="988" spans="8:8" ht="14.25" customHeight="1" x14ac:dyDescent="0.3">
      <c r="H988" s="61"/>
    </row>
    <row r="989" spans="8:8" ht="14.25" customHeight="1" x14ac:dyDescent="0.3">
      <c r="H989" s="61"/>
    </row>
    <row r="990" spans="8:8" ht="14.25" customHeight="1" x14ac:dyDescent="0.3">
      <c r="H990" s="61"/>
    </row>
    <row r="991" spans="8:8" ht="14.25" customHeight="1" x14ac:dyDescent="0.3">
      <c r="H991" s="61"/>
    </row>
    <row r="992" spans="8:8" ht="14.25" customHeight="1" x14ac:dyDescent="0.3">
      <c r="H992" s="61"/>
    </row>
    <row r="993" spans="8:8" ht="14.25" customHeight="1" x14ac:dyDescent="0.3">
      <c r="H993" s="61"/>
    </row>
    <row r="994" spans="8:8" ht="14.25" customHeight="1" x14ac:dyDescent="0.3">
      <c r="H994" s="61"/>
    </row>
    <row r="995" spans="8:8" ht="14.25" customHeight="1" x14ac:dyDescent="0.3">
      <c r="H995" s="61"/>
    </row>
    <row r="996" spans="8:8" ht="14.25" customHeight="1" x14ac:dyDescent="0.3">
      <c r="H996" s="61"/>
    </row>
    <row r="997" spans="8:8" ht="14.25" customHeight="1" x14ac:dyDescent="0.3">
      <c r="H997" s="61"/>
    </row>
    <row r="998" spans="8:8" ht="14.25" customHeight="1" x14ac:dyDescent="0.3">
      <c r="H998" s="61"/>
    </row>
    <row r="999" spans="8:8" ht="14.25" customHeight="1" x14ac:dyDescent="0.3">
      <c r="H999" s="61"/>
    </row>
    <row r="1000" spans="8:8" ht="14.25" customHeight="1" x14ac:dyDescent="0.3">
      <c r="H1000" s="61"/>
    </row>
  </sheetData>
  <mergeCells count="2">
    <mergeCell ref="F649:G649"/>
    <mergeCell ref="E624:F6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 10</vt:lpstr>
      <vt:lpstr>Question 11</vt:lpstr>
      <vt:lpstr>Question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AlFan</dc:creator>
  <cp:lastModifiedBy>Mohammed Alfan</cp:lastModifiedBy>
  <dcterms:created xsi:type="dcterms:W3CDTF">2021-11-15T07:58:14Z</dcterms:created>
  <dcterms:modified xsi:type="dcterms:W3CDTF">2023-03-29T11:35:58Z</dcterms:modified>
</cp:coreProperties>
</file>